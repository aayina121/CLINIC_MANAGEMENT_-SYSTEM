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jali kumari\OneDrive\Desktop\"/>
    </mc:Choice>
  </mc:AlternateContent>
  <xr:revisionPtr revIDLastSave="0" documentId="13_ncr:1_{D177D14C-4E62-42D2-B043-0F8D797A9654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atient Records" sheetId="1" r:id="rId1"/>
    <sheet name="Visit Tracker" sheetId="2" r:id="rId2"/>
    <sheet name="Dashboard" sheetId="3" r:id="rId3"/>
    <sheet name="_Data" sheetId="4" state="hidden" r:id="rId4"/>
    <sheet name="Formulas Use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7" i="1" l="1"/>
  <c r="D11" i="3"/>
  <c r="D10" i="3"/>
  <c r="D9" i="3"/>
  <c r="D8" i="3"/>
  <c r="B4" i="3"/>
  <c r="H29" i="2"/>
  <c r="I29" i="2" s="1"/>
  <c r="L28" i="1" s="1"/>
  <c r="H28" i="2"/>
  <c r="I28" i="2" s="1"/>
  <c r="L27" i="1" s="1"/>
  <c r="H27" i="2"/>
  <c r="I27" i="2" s="1"/>
  <c r="L26" i="1" s="1"/>
  <c r="H26" i="2"/>
  <c r="I26" i="2" s="1"/>
  <c r="L25" i="1" s="1"/>
  <c r="H25" i="2"/>
  <c r="I25" i="2" s="1"/>
  <c r="L24" i="1" s="1"/>
  <c r="H24" i="2"/>
  <c r="I24" i="2" s="1"/>
  <c r="L23" i="1" s="1"/>
  <c r="H23" i="2"/>
  <c r="I23" i="2" s="1"/>
  <c r="L22" i="1" s="1"/>
  <c r="H22" i="2"/>
  <c r="I22" i="2" s="1"/>
  <c r="L21" i="1" s="1"/>
  <c r="H21" i="2"/>
  <c r="I21" i="2" s="1"/>
  <c r="L20" i="1" s="1"/>
  <c r="H20" i="2"/>
  <c r="I20" i="2" s="1"/>
  <c r="L19" i="1" s="1"/>
  <c r="H19" i="2"/>
  <c r="I19" i="2" s="1"/>
  <c r="L18" i="1" s="1"/>
  <c r="H18" i="2"/>
  <c r="I18" i="2" s="1"/>
  <c r="H17" i="2"/>
  <c r="I17" i="2" s="1"/>
  <c r="L16" i="1" s="1"/>
  <c r="H16" i="2"/>
  <c r="I16" i="2" s="1"/>
  <c r="L15" i="1" s="1"/>
  <c r="H15" i="2"/>
  <c r="I15" i="2" s="1"/>
  <c r="L14" i="1" s="1"/>
  <c r="H14" i="2"/>
  <c r="I14" i="2" s="1"/>
  <c r="L13" i="1" s="1"/>
  <c r="H13" i="2"/>
  <c r="I13" i="2" s="1"/>
  <c r="L12" i="1" s="1"/>
  <c r="H12" i="2"/>
  <c r="I12" i="2" s="1"/>
  <c r="L11" i="1" s="1"/>
  <c r="H11" i="2"/>
  <c r="I11" i="2" s="1"/>
  <c r="L10" i="1" s="1"/>
  <c r="H10" i="2"/>
  <c r="I10" i="2" s="1"/>
  <c r="L9" i="1" s="1"/>
  <c r="H9" i="2"/>
  <c r="I9" i="2" s="1"/>
  <c r="L8" i="1" s="1"/>
  <c r="H8" i="2"/>
  <c r="I8" i="2" s="1"/>
  <c r="L7" i="1" s="1"/>
  <c r="H7" i="2"/>
  <c r="I7" i="2" s="1"/>
  <c r="L6" i="1" s="1"/>
  <c r="H6" i="2"/>
  <c r="I6" i="2" s="1"/>
  <c r="L5" i="1" s="1"/>
  <c r="H5" i="2"/>
  <c r="I5" i="2" s="1"/>
  <c r="L4" i="1" s="1"/>
  <c r="F29" i="1"/>
  <c r="E29" i="1"/>
  <c r="K28" i="1"/>
  <c r="I28" i="1"/>
  <c r="G28" i="1"/>
  <c r="K27" i="1"/>
  <c r="I27" i="1"/>
  <c r="G27" i="1"/>
  <c r="K26" i="1"/>
  <c r="I26" i="1"/>
  <c r="G26" i="1"/>
  <c r="K25" i="1"/>
  <c r="G25" i="1"/>
  <c r="I25" i="1" s="1"/>
  <c r="K24" i="1"/>
  <c r="G24" i="1"/>
  <c r="I24" i="1" s="1"/>
  <c r="K23" i="1"/>
  <c r="G23" i="1"/>
  <c r="I23" i="1" s="1"/>
  <c r="K22" i="1"/>
  <c r="I22" i="1"/>
  <c r="G22" i="1"/>
  <c r="K21" i="1"/>
  <c r="G21" i="1"/>
  <c r="I21" i="1" s="1"/>
  <c r="K20" i="1"/>
  <c r="G20" i="1"/>
  <c r="I20" i="1" s="1"/>
  <c r="K19" i="1"/>
  <c r="I19" i="1"/>
  <c r="G19" i="1"/>
  <c r="K18" i="1"/>
  <c r="G18" i="1"/>
  <c r="I18" i="1" s="1"/>
  <c r="K17" i="1"/>
  <c r="G17" i="1"/>
  <c r="I17" i="1" s="1"/>
  <c r="K16" i="1"/>
  <c r="G16" i="1"/>
  <c r="I16" i="1" s="1"/>
  <c r="K15" i="1"/>
  <c r="I15" i="1"/>
  <c r="G15" i="1"/>
  <c r="K14" i="1"/>
  <c r="I14" i="1"/>
  <c r="G14" i="1"/>
  <c r="K13" i="1"/>
  <c r="G13" i="1"/>
  <c r="I13" i="1" s="1"/>
  <c r="K12" i="1"/>
  <c r="G12" i="1"/>
  <c r="I12" i="1" s="1"/>
  <c r="K11" i="1"/>
  <c r="G11" i="1"/>
  <c r="I11" i="1" s="1"/>
  <c r="K10" i="1"/>
  <c r="I10" i="1"/>
  <c r="G10" i="1"/>
  <c r="K9" i="1"/>
  <c r="G9" i="1"/>
  <c r="E11" i="3" s="1"/>
  <c r="K8" i="1"/>
  <c r="G8" i="1"/>
  <c r="H15" i="1" s="1"/>
  <c r="K7" i="1"/>
  <c r="I7" i="1"/>
  <c r="G7" i="1"/>
  <c r="K6" i="1"/>
  <c r="H6" i="1"/>
  <c r="G6" i="1"/>
  <c r="H13" i="1" s="1"/>
  <c r="K5" i="1"/>
  <c r="G5" i="1"/>
  <c r="E9" i="3" s="1"/>
  <c r="K4" i="1"/>
  <c r="G4" i="1"/>
  <c r="H25" i="1" s="1"/>
  <c r="H23" i="1" l="1"/>
  <c r="I6" i="1"/>
  <c r="H4" i="1"/>
  <c r="H16" i="1"/>
  <c r="I4" i="1"/>
  <c r="H9" i="1"/>
  <c r="H21" i="1"/>
  <c r="J4" i="3"/>
  <c r="I8" i="1"/>
  <c r="H18" i="1"/>
  <c r="I9" i="1"/>
  <c r="H14" i="1"/>
  <c r="H26" i="1"/>
  <c r="L4" i="3"/>
  <c r="E10" i="3"/>
  <c r="H20" i="1"/>
  <c r="H12" i="1"/>
  <c r="H24" i="1"/>
  <c r="E8" i="3"/>
  <c r="H8" i="1"/>
  <c r="H11" i="1"/>
  <c r="H19" i="1"/>
  <c r="H5" i="1"/>
  <c r="H17" i="1"/>
  <c r="H28" i="1"/>
  <c r="H7" i="1"/>
  <c r="I5" i="1"/>
  <c r="H10" i="1"/>
  <c r="H22" i="1"/>
  <c r="G29" i="1"/>
  <c r="H27" i="1"/>
  <c r="H29" i="1"/>
  <c r="B3" i="4" l="1"/>
  <c r="B2" i="4"/>
  <c r="K8" i="3"/>
  <c r="I8" i="3"/>
  <c r="G4" i="3"/>
  <c r="K9" i="3"/>
  <c r="D4" i="3"/>
  <c r="I9" i="3"/>
  <c r="I10" i="3" l="1"/>
  <c r="M8" i="3"/>
  <c r="K10" i="3"/>
  <c r="M10" i="3" s="1"/>
  <c r="M9" i="3"/>
</calcChain>
</file>

<file path=xl/sharedStrings.xml><?xml version="1.0" encoding="utf-8"?>
<sst xmlns="http://schemas.openxmlformats.org/spreadsheetml/2006/main" count="347" uniqueCount="141">
  <si>
    <t xml:space="preserve">  CLINIC MANAGEMENT SYSTEM — PATIENT RECORDS</t>
  </si>
  <si>
    <t>SR.</t>
  </si>
  <si>
    <t>PATIENT NAME</t>
  </si>
  <si>
    <t>AGE</t>
  </si>
  <si>
    <t>DOCTOR NAME</t>
  </si>
  <si>
    <t>VISIT FEE
(RS.)</t>
  </si>
  <si>
    <t>VISITS</t>
  </si>
  <si>
    <t>TOTAL BILL
(RS.)</t>
  </si>
  <si>
    <t>AVG BILL
(RS.)</t>
  </si>
  <si>
    <t>COST STATUS</t>
  </si>
  <si>
    <t>FOLLOW
UP</t>
  </si>
  <si>
    <t>FEE TYPE</t>
  </si>
  <si>
    <t>ATTENDANCE</t>
  </si>
  <si>
    <t>RAHUL SHARMA</t>
  </si>
  <si>
    <t>DR. ANIL GUPTA</t>
  </si>
  <si>
    <t>NO</t>
  </si>
  <si>
    <t>PRIYA VERMA</t>
  </si>
  <si>
    <t>DR. SUNITA MEHTA</t>
  </si>
  <si>
    <t>YES</t>
  </si>
  <si>
    <t>AMIT SINGH</t>
  </si>
  <si>
    <t>DR. RAJESH KUMAR</t>
  </si>
  <si>
    <t>SUNITA PATEL</t>
  </si>
  <si>
    <t>ROHIT JOSHI</t>
  </si>
  <si>
    <t>KAVITA RAO</t>
  </si>
  <si>
    <t>DR. PRIYA SHARMA</t>
  </si>
  <si>
    <t>VIKRAM MALHOTRA</t>
  </si>
  <si>
    <t>DEEPA NAIR</t>
  </si>
  <si>
    <t>ARJUN MEHTA</t>
  </si>
  <si>
    <t>MEENA IYER</t>
  </si>
  <si>
    <t>SANJAY TIWARI</t>
  </si>
  <si>
    <t>POOJA BHATIA</t>
  </si>
  <si>
    <t>ANJALI DUBEY</t>
  </si>
  <si>
    <t>KARAN SAXENA</t>
  </si>
  <si>
    <t>NISHA PANDEY</t>
  </si>
  <si>
    <t>TARUN BOSE</t>
  </si>
  <si>
    <t>SMITA KULKARNI</t>
  </si>
  <si>
    <t>AAKASH VERMA</t>
  </si>
  <si>
    <t>REKHA TIWARI</t>
  </si>
  <si>
    <t>MANISH ARORA</t>
  </si>
  <si>
    <t>DIVYA KAPOOR</t>
  </si>
  <si>
    <t>SURESH NAIR</t>
  </si>
  <si>
    <t>PREETI JAIN</t>
  </si>
  <si>
    <t>ROHINI MISHRA</t>
  </si>
  <si>
    <t>VIKAS GOYAL</t>
  </si>
  <si>
    <t>TOTAL / AVERAGE</t>
  </si>
  <si>
    <t>P = PRESENT     |     A = ABSENT     |     L = LEAVE</t>
  </si>
  <si>
    <t>DAY 1
(MON)</t>
  </si>
  <si>
    <t>DAY 2
(TUE)</t>
  </si>
  <si>
    <t>DAY 3
(WED)</t>
  </si>
  <si>
    <t>DAY 4
(THU)</t>
  </si>
  <si>
    <t>DAY 5
(FRI)</t>
  </si>
  <si>
    <t>TOTAL
VISITS</t>
  </si>
  <si>
    <t>ATTENDANCE
%</t>
  </si>
  <si>
    <t>P</t>
  </si>
  <si>
    <t>A</t>
  </si>
  <si>
    <t xml:space="preserve"> CLINIC MANAGEMENT SYSTEM — DASHBOARD</t>
  </si>
  <si>
    <t>TOTAL PATIENTS</t>
  </si>
  <si>
    <t>HIGH COST</t>
  </si>
  <si>
    <t>NORMAL COST</t>
  </si>
  <si>
    <t>TOTAL REVENUE</t>
  </si>
  <si>
    <t>AVG. BILL</t>
  </si>
  <si>
    <t>DOCTOR-WISE SUMMARY</t>
  </si>
  <si>
    <t>COST DISTRIBUTION TABLE</t>
  </si>
  <si>
    <t>PATIENTS</t>
  </si>
  <si>
    <t>AVG BILL (RS.)</t>
  </si>
  <si>
    <t>COST TYPE</t>
  </si>
  <si>
    <t>TOTAL BILL</t>
  </si>
  <si>
    <t>% SHARE</t>
  </si>
  <si>
    <t>TOTAL</t>
  </si>
  <si>
    <t>📊  VISUAL ANALYTICS</t>
  </si>
  <si>
    <t>COUNT</t>
  </si>
  <si>
    <t>PATIENT</t>
  </si>
  <si>
    <t>TOTAL BILL (RS.)</t>
  </si>
  <si>
    <t>GENDER</t>
  </si>
  <si>
    <t>RAHUL</t>
  </si>
  <si>
    <t>MALE</t>
  </si>
  <si>
    <t>PRIYA</t>
  </si>
  <si>
    <t>FEMALE</t>
  </si>
  <si>
    <t>AMIT</t>
  </si>
  <si>
    <t>SUNITA</t>
  </si>
  <si>
    <t>ROHIT</t>
  </si>
  <si>
    <t>KAVITA</t>
  </si>
  <si>
    <t>VIKRAM</t>
  </si>
  <si>
    <t>DEEPA</t>
  </si>
  <si>
    <t>ARJUN</t>
  </si>
  <si>
    <t>MEENA</t>
  </si>
  <si>
    <t>SANJAY</t>
  </si>
  <si>
    <t>POOJA</t>
  </si>
  <si>
    <t>No.</t>
  </si>
  <si>
    <t>Formula Name</t>
  </si>
  <si>
    <t>Syntax / Example</t>
  </si>
  <si>
    <t>Purpose</t>
  </si>
  <si>
    <t>1</t>
  </si>
  <si>
    <t>Attendance %</t>
  </si>
  <si>
    <t>​=(4/5)*100</t>
  </si>
  <si>
    <t>Calculates attendance percentage</t>
  </si>
  <si>
    <t>2</t>
  </si>
  <si>
    <t>Attendance % (Cell)</t>
  </si>
  <si>
    <t>​=H5/5  (format as %)</t>
  </si>
  <si>
    <t>Attendance using cell reference</t>
  </si>
  <si>
    <t>Total Bill</t>
  </si>
  <si>
    <t>​=E4*F4</t>
  </si>
  <si>
    <t>Consultation fee × visits</t>
  </si>
  <si>
    <t>4</t>
  </si>
  <si>
    <t>Grand Total Billing</t>
  </si>
  <si>
    <t>​=SUM(G4:G28)</t>
  </si>
  <si>
    <t>Adds all patient bills</t>
  </si>
  <si>
    <t>5</t>
  </si>
  <si>
    <t>Average Bill</t>
  </si>
  <si>
    <t>​=AVERAGE(G4:G28)</t>
  </si>
  <si>
    <t>Finds average billing</t>
  </si>
  <si>
    <t>6</t>
  </si>
  <si>
    <t>Avg Bill per Doctor</t>
  </si>
  <si>
    <t>​=AVERAGEIF(D4:D28,"DR. ANIL GUPTA",G4:G28)</t>
  </si>
  <si>
    <t>Average bill per doctor</t>
  </si>
  <si>
    <t>7</t>
  </si>
  <si>
    <t>Cost Status</t>
  </si>
  <si>
    <t>​=IF(G4&gt;5000,"HIGH COST","NORMAL")</t>
  </si>
  <si>
    <t>Categorizes bill value</t>
  </si>
  <si>
    <t>8</t>
  </si>
  <si>
    <t>Fee Type</t>
  </si>
  <si>
    <t>​=IF(E4&gt;=1000,"EXPENSIVE","AFFORDABLE")</t>
  </si>
  <si>
    <t>Classifies fee type</t>
  </si>
  <si>
    <t>9</t>
  </si>
  <si>
    <t>Payment Status</t>
  </si>
  <si>
    <t>​=IF(CELL=1,"PAID","PENDING")</t>
  </si>
  <si>
    <t>Shows payment status</t>
  </si>
  <si>
    <t>10</t>
  </si>
  <si>
    <t>Total Patients</t>
  </si>
  <si>
    <t>​=COUNTA(B4:B28)</t>
  </si>
  <si>
    <t>Counts total patients</t>
  </si>
  <si>
    <t>11</t>
  </si>
  <si>
    <t>High Cost Patients</t>
  </si>
  <si>
    <t>​=COUNTIF(I4:I28,"HIGH COST")</t>
  </si>
  <si>
    <t>Counts expensive cases</t>
  </si>
  <si>
    <t>12</t>
  </si>
  <si>
    <t>Follow-up Patients</t>
  </si>
  <si>
    <t>​=COUNTIF(J4:J28,"YES")</t>
  </si>
  <si>
    <t>Counts follow-ups</t>
  </si>
  <si>
    <t xml:space="preserve">  CLINIC MANAGEMENT SYSTEM — VISIT TRACKER</t>
  </si>
  <si>
    <t xml:space="preserve">                                         CLINIC MANAGEMENT SYSTEM — FORMULAS 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</si>
</sst>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3"/>
      <color rgb="FFFFFFFF"/>
      <name val="Calibri"/>
      <charset val="1"/>
    </font>
    <font>
      <i/>
      <sz val="9"/>
      <color rgb="FF6A1B9A"/>
      <name val="Calibri"/>
      <charset val="1"/>
    </font>
    <font>
      <b/>
      <sz val="10"/>
      <color rgb="FFFFFFFF"/>
      <name val="Mangal"/>
      <charset val="1"/>
    </font>
    <font>
      <b/>
      <sz val="10"/>
      <color rgb="FFFFFFFF"/>
      <name val="Mangal"/>
      <family val="1"/>
      <charset val="1"/>
    </font>
    <font>
      <sz val="10"/>
      <color rgb="FF000000"/>
      <name val="Mangal"/>
      <charset val="1"/>
    </font>
    <font>
      <b/>
      <sz val="10"/>
      <color rgb="FF000000"/>
      <name val="Mangal"/>
      <charset val="1"/>
    </font>
    <font>
      <b/>
      <sz val="10"/>
      <color rgb="FF1B5E20"/>
      <name val="Mangal"/>
      <charset val="1"/>
    </font>
    <font>
      <b/>
      <sz val="10"/>
      <color rgb="FFB71C1C"/>
      <name val="Mangal"/>
      <charset val="1"/>
    </font>
    <font>
      <b/>
      <sz val="8"/>
      <color rgb="FFFFFFFF"/>
      <name val="Calibri"/>
      <charset val="1"/>
    </font>
    <font>
      <b/>
      <sz val="16"/>
      <color rgb="FFF9A825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000000"/>
      <name val="Calibri"/>
      <charset val="1"/>
    </font>
    <font>
      <sz val="9"/>
      <color rgb="FF000000"/>
      <name val="Calibri"/>
      <charset val="1"/>
    </font>
    <font>
      <b/>
      <sz val="12"/>
      <color rgb="FFFFFFFF"/>
      <name val="Calibri"/>
      <charset val="1"/>
    </font>
    <font>
      <b/>
      <sz val="10"/>
      <color rgb="FF1565C0"/>
      <name val="Calibri"/>
      <charset val="1"/>
    </font>
    <font>
      <b/>
      <sz val="10"/>
      <color rgb="FF0D47A1"/>
      <name val="Calibri"/>
      <charset val="1"/>
    </font>
    <font>
      <sz val="10"/>
      <color rgb="FF1976D2"/>
      <name val="Calibri"/>
      <charset val="1"/>
    </font>
    <font>
      <sz val="10"/>
      <color rgb="FF546E7A"/>
      <name val="Calibri"/>
      <charset val="1"/>
    </font>
  </fonts>
  <fills count="2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2E75B6"/>
        <bgColor rgb="FF1976D2"/>
      </patternFill>
    </fill>
    <fill>
      <patternFill patternType="solid">
        <fgColor rgb="FFFFE4EE"/>
        <bgColor rgb="FFFCE4EC"/>
      </patternFill>
    </fill>
    <fill>
      <patternFill patternType="solid">
        <fgColor rgb="FFE8F5E9"/>
        <bgColor rgb="FFF0F4FA"/>
      </patternFill>
    </fill>
    <fill>
      <patternFill patternType="solid">
        <fgColor rgb="FFDDEEFF"/>
        <bgColor rgb="FFE3F2FD"/>
      </patternFill>
    </fill>
    <fill>
      <patternFill patternType="solid">
        <fgColor rgb="FF1B3A6B"/>
        <bgColor rgb="FF0D47A1"/>
      </patternFill>
    </fill>
    <fill>
      <patternFill patternType="solid">
        <fgColor rgb="FFEAF4FF"/>
        <bgColor rgb="FFF0F4FA"/>
      </patternFill>
    </fill>
    <fill>
      <patternFill patternType="solid">
        <fgColor rgb="FF6A1B9A"/>
        <bgColor rgb="FF7B1FA2"/>
      </patternFill>
    </fill>
    <fill>
      <patternFill patternType="solid">
        <fgColor rgb="FFF3E5F5"/>
        <bgColor rgb="FFEDE7F6"/>
      </patternFill>
    </fill>
    <fill>
      <patternFill patternType="solid">
        <fgColor rgb="FF9C27B0"/>
        <bgColor rgb="FF7B1FA2"/>
      </patternFill>
    </fill>
    <fill>
      <patternFill patternType="solid">
        <fgColor rgb="FFC8E6C9"/>
        <bgColor rgb="FFD9D9D9"/>
      </patternFill>
    </fill>
    <fill>
      <patternFill patternType="solid">
        <fgColor rgb="FFFFCDD2"/>
        <bgColor rgb="FFFCE4EC"/>
      </patternFill>
    </fill>
    <fill>
      <patternFill patternType="solid">
        <fgColor rgb="FFEDE7F6"/>
        <bgColor rgb="FFF3E5F5"/>
      </patternFill>
    </fill>
    <fill>
      <patternFill patternType="solid">
        <fgColor rgb="FFF0F4FA"/>
        <bgColor rgb="FFEAF4FF"/>
      </patternFill>
    </fill>
    <fill>
      <patternFill patternType="solid">
        <fgColor rgb="FFC2185B"/>
        <bgColor rgb="FFB71C1C"/>
      </patternFill>
    </fill>
    <fill>
      <patternFill patternType="solid">
        <fgColor rgb="FFE1F5FE"/>
        <bgColor rgb="FFE3F2FD"/>
      </patternFill>
    </fill>
    <fill>
      <patternFill patternType="solid">
        <fgColor rgb="FFFFF9C4"/>
        <bgColor rgb="FFF9F9F9"/>
      </patternFill>
    </fill>
    <fill>
      <patternFill patternType="solid">
        <fgColor rgb="FFFCE4EC"/>
        <bgColor rgb="FFFFE4EE"/>
      </patternFill>
    </fill>
    <fill>
      <patternFill patternType="solid">
        <fgColor rgb="FF1565C0"/>
        <bgColor rgb="FF1976D2"/>
      </patternFill>
    </fill>
    <fill>
      <patternFill patternType="solid">
        <fgColor rgb="FF1976D2"/>
        <bgColor rgb="FF1565C0"/>
      </patternFill>
    </fill>
    <fill>
      <patternFill patternType="solid">
        <fgColor rgb="FFE3F2FD"/>
        <bgColor rgb="FFE1F5FE"/>
      </patternFill>
    </fill>
    <fill>
      <patternFill patternType="solid">
        <fgColor rgb="FFFFFFFF"/>
        <bgColor rgb="FFF9F9F9"/>
      </patternFill>
    </fill>
  </fills>
  <borders count="7">
    <border>
      <left/>
      <right/>
      <top/>
      <bottom/>
      <diagonal/>
    </border>
    <border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0D47A1"/>
      </left>
      <right/>
      <top style="medium">
        <color rgb="FF0D47A1"/>
      </top>
      <bottom style="medium">
        <color rgb="FF0D47A1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1"/>
    </xf>
    <xf numFmtId="3" fontId="3" fillId="4" borderId="2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indent="1"/>
    </xf>
    <xf numFmtId="3" fontId="3" fillId="5" borderId="2" xfId="0" applyNumberFormat="1" applyFont="1" applyFill="1" applyBorder="1" applyAlignment="1">
      <alignment horizontal="center" vertical="center"/>
    </xf>
    <xf numFmtId="4" fontId="3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0" fontId="3" fillId="5" borderId="2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 indent="1"/>
    </xf>
    <xf numFmtId="3" fontId="3" fillId="6" borderId="2" xfId="0" applyNumberFormat="1" applyFont="1" applyFill="1" applyBorder="1" applyAlignment="1">
      <alignment horizontal="center" vertical="center"/>
    </xf>
    <xf numFmtId="4" fontId="3" fillId="6" borderId="2" xfId="0" applyNumberFormat="1" applyFont="1" applyFill="1" applyBorder="1" applyAlignment="1">
      <alignment horizontal="center" vertical="center"/>
    </xf>
    <xf numFmtId="10" fontId="3" fillId="6" borderId="2" xfId="0" applyNumberFormat="1" applyFont="1" applyFill="1" applyBorder="1" applyAlignment="1">
      <alignment horizontal="center" vertical="center"/>
    </xf>
    <xf numFmtId="3" fontId="2" fillId="7" borderId="2" xfId="0" applyNumberFormat="1" applyFont="1" applyFill="1" applyBorder="1" applyAlignment="1">
      <alignment horizontal="center" vertical="center"/>
    </xf>
    <xf numFmtId="4" fontId="2" fillId="7" borderId="2" xfId="0" applyNumberFormat="1" applyFont="1" applyFill="1" applyBorder="1" applyAlignment="1">
      <alignment horizontal="center" vertical="center"/>
    </xf>
    <xf numFmtId="0" fontId="0" fillId="7" borderId="2" xfId="0" applyFill="1" applyBorder="1" applyAlignment="1"/>
    <xf numFmtId="0" fontId="0" fillId="8" borderId="0" xfId="0" applyFill="1" applyAlignment="1"/>
    <xf numFmtId="0" fontId="7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 indent="1"/>
    </xf>
    <xf numFmtId="0" fontId="11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10" fontId="9" fillId="10" borderId="2" xfId="0" applyNumberFormat="1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left" vertical="center" indent="1"/>
    </xf>
    <xf numFmtId="10" fontId="9" fillId="14" borderId="2" xfId="0" applyNumberFormat="1" applyFont="1" applyFill="1" applyBorder="1" applyAlignment="1">
      <alignment horizontal="center" vertical="center"/>
    </xf>
    <xf numFmtId="0" fontId="0" fillId="15" borderId="0" xfId="0" applyFill="1" applyAlignment="1"/>
    <xf numFmtId="0" fontId="16" fillId="3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3" fontId="18" fillId="12" borderId="2" xfId="0" applyNumberFormat="1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/>
    </xf>
    <xf numFmtId="3" fontId="18" fillId="17" borderId="2" xfId="0" applyNumberFormat="1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3" fontId="18" fillId="18" borderId="2" xfId="0" applyNumberFormat="1" applyFont="1" applyFill="1" applyBorder="1" applyAlignment="1">
      <alignment horizontal="center" vertical="center"/>
    </xf>
    <xf numFmtId="0" fontId="18" fillId="19" borderId="2" xfId="0" applyFont="1" applyFill="1" applyBorder="1" applyAlignment="1">
      <alignment horizontal="center" vertical="center"/>
    </xf>
    <xf numFmtId="3" fontId="18" fillId="19" borderId="2" xfId="0" applyNumberFormat="1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left" vertical="center" indent="1"/>
    </xf>
    <xf numFmtId="0" fontId="20" fillId="22" borderId="6" xfId="0" applyFont="1" applyFill="1" applyBorder="1" applyAlignment="1">
      <alignment horizontal="center" vertical="center"/>
    </xf>
    <xf numFmtId="0" fontId="21" fillId="22" borderId="6" xfId="0" applyFont="1" applyFill="1" applyBorder="1" applyAlignment="1">
      <alignment horizontal="left" vertical="center" indent="1"/>
    </xf>
    <xf numFmtId="0" fontId="22" fillId="22" borderId="6" xfId="0" applyFont="1" applyFill="1" applyBorder="1" applyAlignment="1">
      <alignment horizontal="left" vertical="center" wrapText="1" indent="1"/>
    </xf>
    <xf numFmtId="0" fontId="23" fillId="22" borderId="6" xfId="0" applyFont="1" applyFill="1" applyBorder="1" applyAlignment="1">
      <alignment horizontal="left" vertical="center" wrapText="1" indent="1"/>
    </xf>
    <xf numFmtId="0" fontId="20" fillId="23" borderId="6" xfId="0" applyFont="1" applyFill="1" applyBorder="1" applyAlignment="1">
      <alignment horizontal="center" vertical="center"/>
    </xf>
    <xf numFmtId="0" fontId="21" fillId="23" borderId="6" xfId="0" applyFont="1" applyFill="1" applyBorder="1" applyAlignment="1">
      <alignment horizontal="left" vertical="center" indent="1"/>
    </xf>
    <xf numFmtId="0" fontId="22" fillId="23" borderId="6" xfId="0" applyFont="1" applyFill="1" applyBorder="1" applyAlignment="1">
      <alignment horizontal="left" vertical="center" wrapText="1" indent="1"/>
    </xf>
    <xf numFmtId="0" fontId="23" fillId="23" borderId="6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/>
    <xf numFmtId="0" fontId="2" fillId="7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0" fillId="11" borderId="0" xfId="0" applyFill="1" applyBorder="1" applyAlignment="1"/>
    <xf numFmtId="0" fontId="13" fillId="7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12" borderId="3" xfId="0" applyFont="1" applyFill="1" applyBorder="1" applyAlignment="1">
      <alignment horizontal="left" vertical="center" indent="1"/>
    </xf>
    <xf numFmtId="0" fontId="18" fillId="4" borderId="3" xfId="0" applyFont="1" applyFill="1" applyBorder="1" applyAlignment="1">
      <alignment horizontal="center" vertical="center"/>
    </xf>
    <xf numFmtId="9" fontId="18" fillId="4" borderId="3" xfId="0" applyNumberFormat="1" applyFont="1" applyFill="1" applyBorder="1" applyAlignment="1">
      <alignment horizontal="center" vertical="center"/>
    </xf>
    <xf numFmtId="0" fontId="17" fillId="17" borderId="3" xfId="0" applyFont="1" applyFill="1" applyBorder="1" applyAlignment="1">
      <alignment horizontal="left" vertical="center" indent="1"/>
    </xf>
    <xf numFmtId="0" fontId="18" fillId="5" borderId="3" xfId="0" applyFont="1" applyFill="1" applyBorder="1" applyAlignment="1">
      <alignment horizontal="center" vertical="center"/>
    </xf>
    <xf numFmtId="9" fontId="18" fillId="5" borderId="3" xfId="0" applyNumberFormat="1" applyFont="1" applyFill="1" applyBorder="1" applyAlignment="1">
      <alignment horizontal="center" vertical="center"/>
    </xf>
    <xf numFmtId="0" fontId="17" fillId="19" borderId="3" xfId="0" applyFont="1" applyFill="1" applyBorder="1" applyAlignment="1">
      <alignment horizontal="left" vertical="center" indent="1"/>
    </xf>
    <xf numFmtId="0" fontId="19" fillId="7" borderId="3" xfId="0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left" vertical="center" indent="1"/>
    </xf>
    <xf numFmtId="0" fontId="17" fillId="6" borderId="3" xfId="0" applyFont="1" applyFill="1" applyBorder="1" applyAlignment="1">
      <alignment horizontal="center" vertical="center"/>
    </xf>
    <xf numFmtId="9" fontId="17" fillId="6" borderId="3" xfId="0" applyNumberFormat="1" applyFont="1" applyFill="1" applyBorder="1" applyAlignment="1">
      <alignment horizontal="center" vertical="center"/>
    </xf>
    <xf numFmtId="0" fontId="5" fillId="20" borderId="4" xfId="0" applyFont="1" applyFill="1" applyBorder="1" applyAlignment="1">
      <alignment horizontal="left" vertical="center" indent="1"/>
    </xf>
    <xf numFmtId="0" fontId="0" fillId="2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4EE"/>
      <rgbColor rgb="FFFF00FF"/>
      <rgbColor rgb="FF00FFFF"/>
      <rgbColor rgb="FF800000"/>
      <rgbColor rgb="FF1B5E20"/>
      <rgbColor rgb="FF000080"/>
      <rgbColor rgb="FF808000"/>
      <rgbColor rgb="FF6A1B9A"/>
      <rgbColor rgb="FF2E75B6"/>
      <rgbColor rgb="FFEDE7F6"/>
      <rgbColor rgb="FF878787"/>
      <rgbColor rgb="FFE3F2FD"/>
      <rgbColor rgb="FF9C27B0"/>
      <rgbColor rgb="FFFFF9C4"/>
      <rgbColor rgb="FFE1F5FE"/>
      <rgbColor rgb="FF660066"/>
      <rgbColor rgb="FFF0F4FA"/>
      <rgbColor rgb="FF1565C0"/>
      <rgbColor rgb="FFD9D9D9"/>
      <rgbColor rgb="FF000080"/>
      <rgbColor rgb="FFFF00FF"/>
      <rgbColor rgb="FFF9F9F9"/>
      <rgbColor rgb="FF00FFFF"/>
      <rgbColor rgb="FF7B1FA2"/>
      <rgbColor rgb="FF800000"/>
      <rgbColor rgb="FF008080"/>
      <rgbColor rgb="FF0000FF"/>
      <rgbColor rgb="FF00CCFF"/>
      <rgbColor rgb="FFDDEEFF"/>
      <rgbColor rgb="FFC8E6C9"/>
      <rgbColor rgb="FFE8F5E9"/>
      <rgbColor rgb="FF90CAF9"/>
      <rgbColor rgb="FFFCE4EC"/>
      <rgbColor rgb="FFF3E5F5"/>
      <rgbColor rgb="FFFFCDD2"/>
      <rgbColor rgb="FF1976D2"/>
      <rgbColor rgb="FF33CCCC"/>
      <rgbColor rgb="FFEAF4FF"/>
      <rgbColor rgb="FFFFC000"/>
      <rgbColor rgb="FFF9A825"/>
      <rgbColor rgb="FFED7D31"/>
      <rgbColor rgb="FF546E7A"/>
      <rgbColor rgb="FFAAAAAA"/>
      <rgbColor rgb="FF1B3A6B"/>
      <rgbColor rgb="FF4F81BD"/>
      <rgbColor rgb="FF0D1B2A"/>
      <rgbColor rgb="FF333300"/>
      <rgbColor rgb="FFB71C1C"/>
      <rgbColor rgb="FFC2185B"/>
      <rgbColor rgb="FF0D47A1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PATIENT COST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_Data!$B$1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F17F-4C8C-B48F-BFAFCBD635B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17F-4C8C-B48F-BFAFCBD635B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17F-4C8C-B48F-BFAFCBD635B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17F-4C8C-B48F-BFAFCBD635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_Data!$A$2:$A$3</c:f>
              <c:strCache>
                <c:ptCount val="2"/>
                <c:pt idx="0">
                  <c:v>HIGH COST</c:v>
                </c:pt>
                <c:pt idx="1">
                  <c:v>NORMAL COST</c:v>
                </c:pt>
              </c:strCache>
            </c:strRef>
          </c:cat>
          <c:val>
            <c:numRef>
              <c:f>_Data!$B$2:$B$3</c:f>
              <c:numCache>
                <c:formatCode>General</c:formatCode>
                <c:ptCount val="2"/>
                <c:pt idx="0">
                  <c:v>10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7F-4C8C-B48F-BFAFCBD6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BILL PER PATIENT (RS.)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_Data!$E$1</c:f>
              <c:strCache>
                <c:ptCount val="1"/>
                <c:pt idx="0">
                  <c:v>TOTAL BILL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1565C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5FBC-451C-A15A-796680679A47}"/>
              </c:ext>
            </c:extLst>
          </c:dPt>
          <c:dPt>
            <c:idx val="1"/>
            <c:invertIfNegative val="0"/>
            <c:bubble3D val="0"/>
            <c:spPr>
              <a:solidFill>
                <a:srgbClr val="7B1F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5FBC-451C-A15A-796680679A47}"/>
              </c:ext>
            </c:extLst>
          </c:dPt>
          <c:dPt>
            <c:idx val="2"/>
            <c:invertIfNegative val="0"/>
            <c:bubble3D val="0"/>
            <c:spPr>
              <a:solidFill>
                <a:srgbClr val="1565C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5FBC-451C-A15A-796680679A47}"/>
              </c:ext>
            </c:extLst>
          </c:dPt>
          <c:dPt>
            <c:idx val="3"/>
            <c:invertIfNegative val="0"/>
            <c:bubble3D val="0"/>
            <c:spPr>
              <a:solidFill>
                <a:srgbClr val="7B1F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5FBC-451C-A15A-796680679A47}"/>
              </c:ext>
            </c:extLst>
          </c:dPt>
          <c:dPt>
            <c:idx val="4"/>
            <c:invertIfNegative val="0"/>
            <c:bubble3D val="0"/>
            <c:spPr>
              <a:solidFill>
                <a:srgbClr val="1565C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5FBC-451C-A15A-796680679A47}"/>
              </c:ext>
            </c:extLst>
          </c:dPt>
          <c:dPt>
            <c:idx val="5"/>
            <c:invertIfNegative val="0"/>
            <c:bubble3D val="0"/>
            <c:spPr>
              <a:solidFill>
                <a:srgbClr val="7B1F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5FBC-451C-A15A-796680679A47}"/>
              </c:ext>
            </c:extLst>
          </c:dPt>
          <c:dPt>
            <c:idx val="6"/>
            <c:invertIfNegative val="0"/>
            <c:bubble3D val="0"/>
            <c:spPr>
              <a:solidFill>
                <a:srgbClr val="1565C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D-5FBC-451C-A15A-796680679A47}"/>
              </c:ext>
            </c:extLst>
          </c:dPt>
          <c:dPt>
            <c:idx val="7"/>
            <c:invertIfNegative val="0"/>
            <c:bubble3D val="0"/>
            <c:spPr>
              <a:solidFill>
                <a:srgbClr val="7B1F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F-5FBC-451C-A15A-796680679A47}"/>
              </c:ext>
            </c:extLst>
          </c:dPt>
          <c:dPt>
            <c:idx val="8"/>
            <c:invertIfNegative val="0"/>
            <c:bubble3D val="0"/>
            <c:spPr>
              <a:solidFill>
                <a:srgbClr val="1565C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1-5FBC-451C-A15A-796680679A47}"/>
              </c:ext>
            </c:extLst>
          </c:dPt>
          <c:dPt>
            <c:idx val="9"/>
            <c:invertIfNegative val="0"/>
            <c:bubble3D val="0"/>
            <c:spPr>
              <a:solidFill>
                <a:srgbClr val="7B1F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3-5FBC-451C-A15A-796680679A47}"/>
              </c:ext>
            </c:extLst>
          </c:dPt>
          <c:dPt>
            <c:idx val="10"/>
            <c:invertIfNegative val="0"/>
            <c:bubble3D val="0"/>
            <c:spPr>
              <a:solidFill>
                <a:srgbClr val="1565C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5-5FBC-451C-A15A-796680679A47}"/>
              </c:ext>
            </c:extLst>
          </c:dPt>
          <c:dPt>
            <c:idx val="11"/>
            <c:invertIfNegative val="0"/>
            <c:bubble3D val="0"/>
            <c:spPr>
              <a:solidFill>
                <a:srgbClr val="7B1F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17-5FBC-451C-A15A-796680679A4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BC-451C-A15A-796680679A4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BC-451C-A15A-796680679A4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BC-451C-A15A-796680679A4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BC-451C-A15A-796680679A4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BC-451C-A15A-796680679A4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FBC-451C-A15A-796680679A47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FBC-451C-A15A-796680679A47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FBC-451C-A15A-796680679A47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FBC-451C-A15A-796680679A47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FBC-451C-A15A-796680679A47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FBC-451C-A15A-796680679A47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FBC-451C-A15A-796680679A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_Data!$D$2:$D$13</c:f>
              <c:strCache>
                <c:ptCount val="12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SUNITA</c:v>
                </c:pt>
                <c:pt idx="4">
                  <c:v>ROHIT</c:v>
                </c:pt>
                <c:pt idx="5">
                  <c:v>KAVITA</c:v>
                </c:pt>
                <c:pt idx="6">
                  <c:v>VIKRAM</c:v>
                </c:pt>
                <c:pt idx="7">
                  <c:v>DEEPA</c:v>
                </c:pt>
                <c:pt idx="8">
                  <c:v>ARJUN</c:v>
                </c:pt>
                <c:pt idx="9">
                  <c:v>MEENA</c:v>
                </c:pt>
                <c:pt idx="10">
                  <c:v>SANJAY</c:v>
                </c:pt>
                <c:pt idx="11">
                  <c:v>POOJA</c:v>
                </c:pt>
              </c:strCache>
            </c:strRef>
          </c:cat>
          <c:val>
            <c:numRef>
              <c:f>_Data!$E$2:$E$13</c:f>
              <c:numCache>
                <c:formatCode>General</c:formatCode>
                <c:ptCount val="12"/>
                <c:pt idx="0">
                  <c:v>6000</c:v>
                </c:pt>
                <c:pt idx="1">
                  <c:v>800</c:v>
                </c:pt>
                <c:pt idx="2">
                  <c:v>6000</c:v>
                </c:pt>
                <c:pt idx="3">
                  <c:v>6300</c:v>
                </c:pt>
                <c:pt idx="4">
                  <c:v>1200</c:v>
                </c:pt>
                <c:pt idx="5">
                  <c:v>3300</c:v>
                </c:pt>
                <c:pt idx="6">
                  <c:v>10800</c:v>
                </c:pt>
                <c:pt idx="7">
                  <c:v>1900</c:v>
                </c:pt>
                <c:pt idx="8">
                  <c:v>700</c:v>
                </c:pt>
                <c:pt idx="9">
                  <c:v>6500</c:v>
                </c:pt>
                <c:pt idx="10">
                  <c:v>4000</c:v>
                </c:pt>
                <c:pt idx="11">
                  <c:v>2550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FBC-451C-A15A-79668067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650238"/>
        <c:axId val="25510897"/>
      </c:barChart>
      <c:catAx>
        <c:axId val="74650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PATIENT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10897"/>
        <c:crosses val="autoZero"/>
        <c:auto val="1"/>
        <c:lblAlgn val="ctr"/>
        <c:lblOffset val="100"/>
        <c:noMultiLvlLbl val="0"/>
      </c:catAx>
      <c:valAx>
        <c:axId val="255108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AMOUNT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650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53280</xdr:colOff>
      <xdr:row>13</xdr:row>
      <xdr:rowOff>198000</xdr:rowOff>
    </xdr:from>
    <xdr:to>
      <xdr:col>7</xdr:col>
      <xdr:colOff>279720</xdr:colOff>
      <xdr:row>33</xdr:row>
      <xdr:rowOff>66240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822960</xdr:colOff>
      <xdr:row>13</xdr:row>
      <xdr:rowOff>221040</xdr:rowOff>
    </xdr:from>
    <xdr:to>
      <xdr:col>19</xdr:col>
      <xdr:colOff>249480</xdr:colOff>
      <xdr:row>33</xdr:row>
      <xdr:rowOff>97920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 II">
      <a:dk1>
        <a:srgbClr val="000000"/>
      </a:dk1>
      <a:lt1>
        <a:srgbClr val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L31"/>
  <sheetViews>
    <sheetView showGridLines="0" tabSelected="1" zoomScaleNormal="100" workbookViewId="0">
      <selection activeCell="L26" sqref="L26"/>
    </sheetView>
  </sheetViews>
  <sheetFormatPr defaultColWidth="8.6640625" defaultRowHeight="14.4" x14ac:dyDescent="0.3"/>
  <cols>
    <col min="1" max="1" width="7" style="1" customWidth="1"/>
    <col min="2" max="2" width="22" style="1" customWidth="1"/>
    <col min="3" max="3" width="6" style="1" customWidth="1"/>
    <col min="4" max="4" width="22" style="1" customWidth="1"/>
    <col min="5" max="5" width="15" style="1" customWidth="1"/>
    <col min="6" max="6" width="13" style="1" customWidth="1"/>
    <col min="7" max="7" width="16" style="1" customWidth="1"/>
    <col min="8" max="8" width="18" style="1" customWidth="1"/>
    <col min="9" max="9" width="13" style="1" customWidth="1"/>
    <col min="10" max="10" width="11" style="1" customWidth="1"/>
    <col min="11" max="11" width="13" style="1" customWidth="1"/>
    <col min="12" max="12" width="12" style="1" customWidth="1"/>
  </cols>
  <sheetData>
    <row r="1" spans="1:12" ht="36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2" ht="4.5" customHeight="1" x14ac:dyDescent="0.3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31.5" customHeight="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8" customHeight="1" x14ac:dyDescent="0.3">
      <c r="A4" s="3">
        <v>1</v>
      </c>
      <c r="B4" s="4" t="s">
        <v>13</v>
      </c>
      <c r="C4" s="3">
        <v>32</v>
      </c>
      <c r="D4" s="3" t="s">
        <v>14</v>
      </c>
      <c r="E4" s="5">
        <v>1200</v>
      </c>
      <c r="F4" s="3">
        <v>5</v>
      </c>
      <c r="G4" s="5">
        <f t="shared" ref="G4:G28" si="0">E4*F4</f>
        <v>6000</v>
      </c>
      <c r="H4" s="6">
        <f t="shared" ref="H4:H28" si="1">AVERAGE($G$4:$G$28)</f>
        <v>4816.8</v>
      </c>
      <c r="I4" s="7" t="str">
        <f t="shared" ref="I4:I28" si="2">IF(G4&gt;5000,"HIGH COST","NORMAL")</f>
        <v>HIGH COST</v>
      </c>
      <c r="J4" s="3" t="s">
        <v>15</v>
      </c>
      <c r="K4" s="3" t="str">
        <f t="shared" ref="K4:K28" si="3">IF(E4&gt;=1000,"EXPENSIVE","AFFORDABLE")</f>
        <v>EXPENSIVE</v>
      </c>
      <c r="L4" s="8">
        <f>IFERROR(VLOOKUP(B4,'Visit Tracker'!$B$5:$I$29,8,0),"")</f>
        <v>0.8</v>
      </c>
    </row>
    <row r="5" spans="1:12" ht="18" customHeight="1" x14ac:dyDescent="0.3">
      <c r="A5" s="9">
        <v>2</v>
      </c>
      <c r="B5" s="10" t="s">
        <v>16</v>
      </c>
      <c r="C5" s="9">
        <v>28</v>
      </c>
      <c r="D5" s="9" t="s">
        <v>17</v>
      </c>
      <c r="E5" s="11">
        <v>800</v>
      </c>
      <c r="F5" s="9">
        <v>1</v>
      </c>
      <c r="G5" s="11">
        <f t="shared" si="0"/>
        <v>800</v>
      </c>
      <c r="H5" s="12">
        <f t="shared" si="1"/>
        <v>4816.8</v>
      </c>
      <c r="I5" s="13" t="str">
        <f t="shared" si="2"/>
        <v>NORMAL</v>
      </c>
      <c r="J5" s="9" t="s">
        <v>18</v>
      </c>
      <c r="K5" s="9" t="str">
        <f t="shared" si="3"/>
        <v>AFFORDABLE</v>
      </c>
      <c r="L5" s="14">
        <f>IFERROR(VLOOKUP(B5,'Visit Tracker'!$B$5:$I$29,8,0),"")</f>
        <v>0.2</v>
      </c>
    </row>
    <row r="6" spans="1:12" ht="18" customHeight="1" x14ac:dyDescent="0.3">
      <c r="A6" s="3">
        <v>3</v>
      </c>
      <c r="B6" s="4" t="s">
        <v>19</v>
      </c>
      <c r="C6" s="3">
        <v>45</v>
      </c>
      <c r="D6" s="3" t="s">
        <v>20</v>
      </c>
      <c r="E6" s="5">
        <v>1500</v>
      </c>
      <c r="F6" s="3">
        <v>4</v>
      </c>
      <c r="G6" s="5">
        <f t="shared" si="0"/>
        <v>6000</v>
      </c>
      <c r="H6" s="6">
        <f t="shared" si="1"/>
        <v>4816.8</v>
      </c>
      <c r="I6" s="7" t="str">
        <f t="shared" si="2"/>
        <v>HIGH COST</v>
      </c>
      <c r="J6" s="3" t="s">
        <v>15</v>
      </c>
      <c r="K6" s="3" t="str">
        <f t="shared" si="3"/>
        <v>EXPENSIVE</v>
      </c>
      <c r="L6" s="8">
        <f>IFERROR(VLOOKUP(B6,'Visit Tracker'!$B$5:$I$29,8,0),"")</f>
        <v>0.8</v>
      </c>
    </row>
    <row r="7" spans="1:12" ht="18" customHeight="1" x14ac:dyDescent="0.3">
      <c r="A7" s="3">
        <v>4</v>
      </c>
      <c r="B7" s="4" t="s">
        <v>21</v>
      </c>
      <c r="C7" s="3">
        <v>55</v>
      </c>
      <c r="D7" s="3" t="s">
        <v>14</v>
      </c>
      <c r="E7" s="5">
        <v>900</v>
      </c>
      <c r="F7" s="3">
        <v>7</v>
      </c>
      <c r="G7" s="5">
        <f t="shared" si="0"/>
        <v>6300</v>
      </c>
      <c r="H7" s="6">
        <f t="shared" si="1"/>
        <v>4816.8</v>
      </c>
      <c r="I7" s="7" t="str">
        <f t="shared" si="2"/>
        <v>HIGH COST</v>
      </c>
      <c r="J7" s="3" t="s">
        <v>15</v>
      </c>
      <c r="K7" s="3" t="str">
        <f t="shared" si="3"/>
        <v>AFFORDABLE</v>
      </c>
      <c r="L7" s="8">
        <f>IFERROR(VLOOKUP(B7,'Visit Tracker'!$B$5:$I$29,8,0),"")</f>
        <v>1</v>
      </c>
    </row>
    <row r="8" spans="1:12" ht="18" customHeight="1" x14ac:dyDescent="0.3">
      <c r="A8" s="15">
        <v>5</v>
      </c>
      <c r="B8" s="16" t="s">
        <v>22</v>
      </c>
      <c r="C8" s="15">
        <v>19</v>
      </c>
      <c r="D8" s="15" t="s">
        <v>17</v>
      </c>
      <c r="E8" s="17">
        <v>600</v>
      </c>
      <c r="F8" s="15">
        <v>2</v>
      </c>
      <c r="G8" s="17">
        <f t="shared" si="0"/>
        <v>1200</v>
      </c>
      <c r="H8" s="18">
        <f t="shared" si="1"/>
        <v>4816.8</v>
      </c>
      <c r="I8" s="13" t="str">
        <f t="shared" si="2"/>
        <v>NORMAL</v>
      </c>
      <c r="J8" s="15" t="s">
        <v>15</v>
      </c>
      <c r="K8" s="15" t="str">
        <f t="shared" si="3"/>
        <v>AFFORDABLE</v>
      </c>
      <c r="L8" s="19">
        <f>IFERROR(VLOOKUP(B8,'Visit Tracker'!$B$5:$I$29,8,0),"")</f>
        <v>0.4</v>
      </c>
    </row>
    <row r="9" spans="1:12" ht="18" customHeight="1" x14ac:dyDescent="0.3">
      <c r="A9" s="9">
        <v>6</v>
      </c>
      <c r="B9" s="10" t="s">
        <v>23</v>
      </c>
      <c r="C9" s="9">
        <v>38</v>
      </c>
      <c r="D9" s="9" t="s">
        <v>24</v>
      </c>
      <c r="E9" s="11">
        <v>1100</v>
      </c>
      <c r="F9" s="9">
        <v>3</v>
      </c>
      <c r="G9" s="11">
        <f t="shared" si="0"/>
        <v>3300</v>
      </c>
      <c r="H9" s="12">
        <f t="shared" si="1"/>
        <v>4816.8</v>
      </c>
      <c r="I9" s="13" t="str">
        <f t="shared" si="2"/>
        <v>NORMAL</v>
      </c>
      <c r="J9" s="9" t="s">
        <v>15</v>
      </c>
      <c r="K9" s="9" t="str">
        <f t="shared" si="3"/>
        <v>EXPENSIVE</v>
      </c>
      <c r="L9" s="14">
        <f>IFERROR(VLOOKUP(B9,'Visit Tracker'!$B$5:$I$29,8,0),"")</f>
        <v>0.6</v>
      </c>
    </row>
    <row r="10" spans="1:12" ht="18" customHeight="1" x14ac:dyDescent="0.3">
      <c r="A10" s="3">
        <v>7</v>
      </c>
      <c r="B10" s="4" t="s">
        <v>25</v>
      </c>
      <c r="C10" s="3">
        <v>62</v>
      </c>
      <c r="D10" s="3" t="s">
        <v>20</v>
      </c>
      <c r="E10" s="5">
        <v>1800</v>
      </c>
      <c r="F10" s="3">
        <v>6</v>
      </c>
      <c r="G10" s="5">
        <f t="shared" si="0"/>
        <v>10800</v>
      </c>
      <c r="H10" s="6">
        <f t="shared" si="1"/>
        <v>4816.8</v>
      </c>
      <c r="I10" s="7" t="str">
        <f t="shared" si="2"/>
        <v>HIGH COST</v>
      </c>
      <c r="J10" s="3" t="s">
        <v>15</v>
      </c>
      <c r="K10" s="3" t="str">
        <f t="shared" si="3"/>
        <v>EXPENSIVE</v>
      </c>
      <c r="L10" s="8">
        <f>IFERROR(VLOOKUP(B10,'Visit Tracker'!$B$5:$I$29,8,0),"")</f>
        <v>1</v>
      </c>
    </row>
    <row r="11" spans="1:12" ht="18" customHeight="1" x14ac:dyDescent="0.3">
      <c r="A11" s="9">
        <v>8</v>
      </c>
      <c r="B11" s="10" t="s">
        <v>26</v>
      </c>
      <c r="C11" s="9">
        <v>41</v>
      </c>
      <c r="D11" s="9" t="s">
        <v>24</v>
      </c>
      <c r="E11" s="11">
        <v>950</v>
      </c>
      <c r="F11" s="9">
        <v>2</v>
      </c>
      <c r="G11" s="11">
        <f t="shared" si="0"/>
        <v>1900</v>
      </c>
      <c r="H11" s="12">
        <f t="shared" si="1"/>
        <v>4816.8</v>
      </c>
      <c r="I11" s="13" t="str">
        <f t="shared" si="2"/>
        <v>NORMAL</v>
      </c>
      <c r="J11" s="9" t="s">
        <v>15</v>
      </c>
      <c r="K11" s="9" t="str">
        <f t="shared" si="3"/>
        <v>AFFORDABLE</v>
      </c>
      <c r="L11" s="14">
        <f>IFERROR(VLOOKUP(B11,'Visit Tracker'!$B$5:$I$29,8,0),"")</f>
        <v>0.4</v>
      </c>
    </row>
    <row r="12" spans="1:12" ht="18" customHeight="1" x14ac:dyDescent="0.3">
      <c r="A12" s="15">
        <v>9</v>
      </c>
      <c r="B12" s="16" t="s">
        <v>27</v>
      </c>
      <c r="C12" s="15">
        <v>25</v>
      </c>
      <c r="D12" s="15" t="s">
        <v>14</v>
      </c>
      <c r="E12" s="17">
        <v>700</v>
      </c>
      <c r="F12" s="15">
        <v>1</v>
      </c>
      <c r="G12" s="17">
        <f t="shared" si="0"/>
        <v>700</v>
      </c>
      <c r="H12" s="18">
        <f t="shared" si="1"/>
        <v>4816.8</v>
      </c>
      <c r="I12" s="13" t="str">
        <f t="shared" si="2"/>
        <v>NORMAL</v>
      </c>
      <c r="J12" s="15" t="s">
        <v>18</v>
      </c>
      <c r="K12" s="15" t="str">
        <f t="shared" si="3"/>
        <v>AFFORDABLE</v>
      </c>
      <c r="L12" s="19">
        <f>IFERROR(VLOOKUP(B12,'Visit Tracker'!$B$5:$I$29,8,0),"")</f>
        <v>0.2</v>
      </c>
    </row>
    <row r="13" spans="1:12" ht="18" customHeight="1" x14ac:dyDescent="0.3">
      <c r="A13" s="3">
        <v>10</v>
      </c>
      <c r="B13" s="4" t="s">
        <v>28</v>
      </c>
      <c r="C13" s="3">
        <v>50</v>
      </c>
      <c r="D13" s="3" t="s">
        <v>17</v>
      </c>
      <c r="E13" s="5">
        <v>1300</v>
      </c>
      <c r="F13" s="3">
        <v>5</v>
      </c>
      <c r="G13" s="5">
        <f t="shared" si="0"/>
        <v>6500</v>
      </c>
      <c r="H13" s="6">
        <f t="shared" si="1"/>
        <v>4816.8</v>
      </c>
      <c r="I13" s="7" t="str">
        <f t="shared" si="2"/>
        <v>HIGH COST</v>
      </c>
      <c r="J13" s="3" t="s">
        <v>15</v>
      </c>
      <c r="K13" s="3" t="str">
        <f t="shared" si="3"/>
        <v>EXPENSIVE</v>
      </c>
      <c r="L13" s="8">
        <f>IFERROR(VLOOKUP(B13,'Visit Tracker'!$B$5:$I$29,8,0),"")</f>
        <v>0.8</v>
      </c>
    </row>
    <row r="14" spans="1:12" ht="18" customHeight="1" x14ac:dyDescent="0.3">
      <c r="A14" s="15">
        <v>11</v>
      </c>
      <c r="B14" s="16" t="s">
        <v>29</v>
      </c>
      <c r="C14" s="15">
        <v>35</v>
      </c>
      <c r="D14" s="15" t="s">
        <v>20</v>
      </c>
      <c r="E14" s="17">
        <v>1000</v>
      </c>
      <c r="F14" s="15">
        <v>4</v>
      </c>
      <c r="G14" s="17">
        <f t="shared" si="0"/>
        <v>4000</v>
      </c>
      <c r="H14" s="18">
        <f t="shared" si="1"/>
        <v>4816.8</v>
      </c>
      <c r="I14" s="13" t="str">
        <f t="shared" si="2"/>
        <v>NORMAL</v>
      </c>
      <c r="J14" s="15" t="s">
        <v>15</v>
      </c>
      <c r="K14" s="15" t="str">
        <f t="shared" si="3"/>
        <v>EXPENSIVE</v>
      </c>
      <c r="L14" s="19">
        <f>IFERROR(VLOOKUP(B14,'Visit Tracker'!$B$5:$I$29,8,0),"")</f>
        <v>0.6</v>
      </c>
    </row>
    <row r="15" spans="1:12" ht="18" customHeight="1" x14ac:dyDescent="0.3">
      <c r="A15" s="9">
        <v>12</v>
      </c>
      <c r="B15" s="10" t="s">
        <v>30</v>
      </c>
      <c r="C15" s="9">
        <v>29</v>
      </c>
      <c r="D15" s="9" t="s">
        <v>24</v>
      </c>
      <c r="E15" s="11">
        <v>850</v>
      </c>
      <c r="F15" s="9">
        <v>3</v>
      </c>
      <c r="G15" s="11">
        <f t="shared" si="0"/>
        <v>2550</v>
      </c>
      <c r="H15" s="12">
        <f t="shared" si="1"/>
        <v>4816.8</v>
      </c>
      <c r="I15" s="13" t="str">
        <f t="shared" si="2"/>
        <v>NORMAL</v>
      </c>
      <c r="J15" s="9" t="s">
        <v>15</v>
      </c>
      <c r="K15" s="9" t="str">
        <f t="shared" si="3"/>
        <v>AFFORDABLE</v>
      </c>
      <c r="L15" s="14">
        <f>IFERROR(VLOOKUP(B15,'Visit Tracker'!$B$5:$I$29,8,0),"")</f>
        <v>0.6</v>
      </c>
    </row>
    <row r="16" spans="1:12" ht="18" customHeight="1" x14ac:dyDescent="0.3">
      <c r="A16" s="15">
        <v>13</v>
      </c>
      <c r="B16" s="16" t="s">
        <v>31</v>
      </c>
      <c r="C16" s="15">
        <v>27</v>
      </c>
      <c r="D16" s="15" t="s">
        <v>14</v>
      </c>
      <c r="E16" s="17">
        <v>750</v>
      </c>
      <c r="F16" s="15">
        <v>2</v>
      </c>
      <c r="G16" s="17">
        <f t="shared" si="0"/>
        <v>1500</v>
      </c>
      <c r="H16" s="18">
        <f t="shared" si="1"/>
        <v>4816.8</v>
      </c>
      <c r="I16" s="13" t="str">
        <f t="shared" si="2"/>
        <v>NORMAL</v>
      </c>
      <c r="J16" s="15" t="s">
        <v>18</v>
      </c>
      <c r="K16" s="15" t="str">
        <f t="shared" si="3"/>
        <v>AFFORDABLE</v>
      </c>
      <c r="L16" s="19">
        <f>IFERROR(VLOOKUP(B16,'Visit Tracker'!$B$5:$I$29,8,0),"")</f>
        <v>0.6</v>
      </c>
    </row>
    <row r="17" spans="1:12" ht="18" customHeight="1" x14ac:dyDescent="0.3">
      <c r="A17" s="3">
        <v>14</v>
      </c>
      <c r="B17" s="4" t="s">
        <v>32</v>
      </c>
      <c r="C17" s="3">
        <v>34</v>
      </c>
      <c r="D17" s="3" t="s">
        <v>17</v>
      </c>
      <c r="E17" s="5">
        <v>1400</v>
      </c>
      <c r="F17" s="3">
        <v>5</v>
      </c>
      <c r="G17" s="5">
        <f t="shared" si="0"/>
        <v>7000</v>
      </c>
      <c r="H17" s="6">
        <f t="shared" si="1"/>
        <v>4816.8</v>
      </c>
      <c r="I17" s="7" t="str">
        <f t="shared" si="2"/>
        <v>HIGH COST</v>
      </c>
      <c r="J17" s="3" t="s">
        <v>15</v>
      </c>
      <c r="K17" s="3" t="str">
        <f t="shared" si="3"/>
        <v>EXPENSIVE</v>
      </c>
      <c r="L17" s="8">
        <f>IFERROR(VLOOKUP(B17,'Visit Tracker'!$B$5:$I$29,8,0),"")</f>
        <v>0.8</v>
      </c>
    </row>
    <row r="18" spans="1:12" ht="18" customHeight="1" x14ac:dyDescent="0.3">
      <c r="A18" s="15">
        <v>15</v>
      </c>
      <c r="B18" s="16" t="s">
        <v>33</v>
      </c>
      <c r="C18" s="15">
        <v>48</v>
      </c>
      <c r="D18" s="15" t="s">
        <v>20</v>
      </c>
      <c r="E18" s="17">
        <v>980</v>
      </c>
      <c r="F18" s="15">
        <v>3</v>
      </c>
      <c r="G18" s="17">
        <f t="shared" si="0"/>
        <v>2940</v>
      </c>
      <c r="H18" s="18">
        <f t="shared" si="1"/>
        <v>4816.8</v>
      </c>
      <c r="I18" s="13" t="str">
        <f t="shared" si="2"/>
        <v>NORMAL</v>
      </c>
      <c r="J18" s="15" t="s">
        <v>15</v>
      </c>
      <c r="K18" s="15" t="str">
        <f t="shared" si="3"/>
        <v>AFFORDABLE</v>
      </c>
      <c r="L18" s="19">
        <f>IFERROR(VLOOKUP(B18,'Visit Tracker'!$B$5:$I$29,8,0),"")</f>
        <v>0.6</v>
      </c>
    </row>
    <row r="19" spans="1:12" ht="18" customHeight="1" x14ac:dyDescent="0.3">
      <c r="A19" s="3">
        <v>16</v>
      </c>
      <c r="B19" s="4" t="s">
        <v>34</v>
      </c>
      <c r="C19" s="3">
        <v>52</v>
      </c>
      <c r="D19" s="3" t="s">
        <v>24</v>
      </c>
      <c r="E19" s="5">
        <v>1650</v>
      </c>
      <c r="F19" s="3">
        <v>6</v>
      </c>
      <c r="G19" s="5">
        <f t="shared" si="0"/>
        <v>9900</v>
      </c>
      <c r="H19" s="6">
        <f t="shared" si="1"/>
        <v>4816.8</v>
      </c>
      <c r="I19" s="7" t="str">
        <f t="shared" si="2"/>
        <v>HIGH COST</v>
      </c>
      <c r="J19" s="3" t="s">
        <v>15</v>
      </c>
      <c r="K19" s="3" t="str">
        <f t="shared" si="3"/>
        <v>EXPENSIVE</v>
      </c>
      <c r="L19" s="8">
        <f>IFERROR(VLOOKUP(B19,'Visit Tracker'!$B$5:$I$29,8,0),"")</f>
        <v>1</v>
      </c>
    </row>
    <row r="20" spans="1:12" ht="18" customHeight="1" x14ac:dyDescent="0.3">
      <c r="A20" s="15">
        <v>17</v>
      </c>
      <c r="B20" s="16" t="s">
        <v>35</v>
      </c>
      <c r="C20" s="15">
        <v>31</v>
      </c>
      <c r="D20" s="15" t="s">
        <v>14</v>
      </c>
      <c r="E20" s="17">
        <v>820</v>
      </c>
      <c r="F20" s="15">
        <v>1</v>
      </c>
      <c r="G20" s="17">
        <f t="shared" si="0"/>
        <v>820</v>
      </c>
      <c r="H20" s="18">
        <f t="shared" si="1"/>
        <v>4816.8</v>
      </c>
      <c r="I20" s="13" t="str">
        <f t="shared" si="2"/>
        <v>NORMAL</v>
      </c>
      <c r="J20" s="15" t="s">
        <v>18</v>
      </c>
      <c r="K20" s="15" t="str">
        <f t="shared" si="3"/>
        <v>AFFORDABLE</v>
      </c>
      <c r="L20" s="19">
        <f>IFERROR(VLOOKUP(B20,'Visit Tracker'!$B$5:$I$29,8,0),"")</f>
        <v>0.6</v>
      </c>
    </row>
    <row r="21" spans="1:12" ht="18" customHeight="1" x14ac:dyDescent="0.3">
      <c r="A21" s="9">
        <v>18</v>
      </c>
      <c r="B21" s="10" t="s">
        <v>36</v>
      </c>
      <c r="C21" s="9">
        <v>23</v>
      </c>
      <c r="D21" s="9" t="s">
        <v>17</v>
      </c>
      <c r="E21" s="11">
        <v>600</v>
      </c>
      <c r="F21" s="9">
        <v>2</v>
      </c>
      <c r="G21" s="11">
        <f t="shared" si="0"/>
        <v>1200</v>
      </c>
      <c r="H21" s="12">
        <f t="shared" si="1"/>
        <v>4816.8</v>
      </c>
      <c r="I21" s="13" t="str">
        <f t="shared" si="2"/>
        <v>NORMAL</v>
      </c>
      <c r="J21" s="9" t="s">
        <v>15</v>
      </c>
      <c r="K21" s="9" t="str">
        <f t="shared" si="3"/>
        <v>AFFORDABLE</v>
      </c>
      <c r="L21" s="14">
        <f>IFERROR(VLOOKUP(B21,'Visit Tracker'!$B$5:$I$29,8,0),"")</f>
        <v>0.4</v>
      </c>
    </row>
    <row r="22" spans="1:12" ht="18" customHeight="1" x14ac:dyDescent="0.3">
      <c r="A22" s="3">
        <v>19</v>
      </c>
      <c r="B22" s="4" t="s">
        <v>37</v>
      </c>
      <c r="C22" s="3">
        <v>60</v>
      </c>
      <c r="D22" s="3" t="s">
        <v>20</v>
      </c>
      <c r="E22" s="5">
        <v>1900</v>
      </c>
      <c r="F22" s="3">
        <v>7</v>
      </c>
      <c r="G22" s="5">
        <f t="shared" si="0"/>
        <v>13300</v>
      </c>
      <c r="H22" s="6">
        <f t="shared" si="1"/>
        <v>4816.8</v>
      </c>
      <c r="I22" s="7" t="str">
        <f t="shared" si="2"/>
        <v>HIGH COST</v>
      </c>
      <c r="J22" s="3" t="s">
        <v>15</v>
      </c>
      <c r="K22" s="3" t="str">
        <f t="shared" si="3"/>
        <v>EXPENSIVE</v>
      </c>
      <c r="L22" s="8">
        <f>IFERROR(VLOOKUP(B22,'Visit Tracker'!$B$5:$I$29,8,0),"")</f>
        <v>1</v>
      </c>
    </row>
    <row r="23" spans="1:12" ht="18" customHeight="1" x14ac:dyDescent="0.3">
      <c r="A23" s="9">
        <v>20</v>
      </c>
      <c r="B23" s="10" t="s">
        <v>38</v>
      </c>
      <c r="C23" s="9">
        <v>39</v>
      </c>
      <c r="D23" s="9" t="s">
        <v>24</v>
      </c>
      <c r="E23" s="11">
        <v>1050</v>
      </c>
      <c r="F23" s="9">
        <v>4</v>
      </c>
      <c r="G23" s="11">
        <f t="shared" si="0"/>
        <v>4200</v>
      </c>
      <c r="H23" s="12">
        <f t="shared" si="1"/>
        <v>4816.8</v>
      </c>
      <c r="I23" s="13" t="str">
        <f t="shared" si="2"/>
        <v>NORMAL</v>
      </c>
      <c r="J23" s="9" t="s">
        <v>15</v>
      </c>
      <c r="K23" s="9" t="str">
        <f t="shared" si="3"/>
        <v>EXPENSIVE</v>
      </c>
      <c r="L23" s="14">
        <f>IFERROR(VLOOKUP(B23,'Visit Tracker'!$B$5:$I$29,8,0),"")</f>
        <v>0.8</v>
      </c>
    </row>
    <row r="24" spans="1:12" ht="18" customHeight="1" x14ac:dyDescent="0.3">
      <c r="A24" s="15">
        <v>21</v>
      </c>
      <c r="B24" s="16" t="s">
        <v>39</v>
      </c>
      <c r="C24" s="15">
        <v>26</v>
      </c>
      <c r="D24" s="15" t="s">
        <v>14</v>
      </c>
      <c r="E24" s="17">
        <v>700</v>
      </c>
      <c r="F24" s="15">
        <v>1</v>
      </c>
      <c r="G24" s="17">
        <f t="shared" si="0"/>
        <v>700</v>
      </c>
      <c r="H24" s="18">
        <f t="shared" si="1"/>
        <v>4816.8</v>
      </c>
      <c r="I24" s="13" t="str">
        <f t="shared" si="2"/>
        <v>NORMAL</v>
      </c>
      <c r="J24" s="15" t="s">
        <v>18</v>
      </c>
      <c r="K24" s="15" t="str">
        <f t="shared" si="3"/>
        <v>AFFORDABLE</v>
      </c>
      <c r="L24" s="19">
        <f>IFERROR(VLOOKUP(B24,'Visit Tracker'!$B$5:$I$29,8,0),"")</f>
        <v>0.4</v>
      </c>
    </row>
    <row r="25" spans="1:12" ht="18" customHeight="1" x14ac:dyDescent="0.3">
      <c r="A25" s="3">
        <v>22</v>
      </c>
      <c r="B25" s="4" t="s">
        <v>40</v>
      </c>
      <c r="C25" s="3">
        <v>55</v>
      </c>
      <c r="D25" s="3" t="s">
        <v>17</v>
      </c>
      <c r="E25" s="5">
        <v>1550</v>
      </c>
      <c r="F25" s="3">
        <v>5</v>
      </c>
      <c r="G25" s="5">
        <f t="shared" si="0"/>
        <v>7750</v>
      </c>
      <c r="H25" s="6">
        <f t="shared" si="1"/>
        <v>4816.8</v>
      </c>
      <c r="I25" s="7" t="str">
        <f t="shared" si="2"/>
        <v>HIGH COST</v>
      </c>
      <c r="J25" s="3" t="s">
        <v>15</v>
      </c>
      <c r="K25" s="3" t="str">
        <f t="shared" si="3"/>
        <v>EXPENSIVE</v>
      </c>
      <c r="L25" s="8">
        <f>IFERROR(VLOOKUP(B25,'Visit Tracker'!$B$5:$I$29,8,0),"")</f>
        <v>0.8</v>
      </c>
    </row>
    <row r="26" spans="1:12" ht="18" customHeight="1" x14ac:dyDescent="0.3">
      <c r="A26" s="15">
        <v>23</v>
      </c>
      <c r="B26" s="16" t="s">
        <v>41</v>
      </c>
      <c r="C26" s="15">
        <v>33</v>
      </c>
      <c r="D26" s="15" t="s">
        <v>20</v>
      </c>
      <c r="E26" s="17">
        <v>870</v>
      </c>
      <c r="F26" s="15">
        <v>3</v>
      </c>
      <c r="G26" s="17">
        <f t="shared" si="0"/>
        <v>2610</v>
      </c>
      <c r="H26" s="18">
        <f t="shared" si="1"/>
        <v>4816.8</v>
      </c>
      <c r="I26" s="13" t="str">
        <f t="shared" si="2"/>
        <v>NORMAL</v>
      </c>
      <c r="J26" s="15" t="s">
        <v>15</v>
      </c>
      <c r="K26" s="15" t="str">
        <f t="shared" si="3"/>
        <v>AFFORDABLE</v>
      </c>
      <c r="L26" s="19">
        <f>IFERROR(VLOOKUP(B26,'Visit Tracker'!$B$5:$I$29,8,0),"")</f>
        <v>0.6</v>
      </c>
    </row>
    <row r="27" spans="1:12" ht="18" customHeight="1" x14ac:dyDescent="0.3">
      <c r="A27" s="9">
        <v>24</v>
      </c>
      <c r="B27" s="10" t="s">
        <v>42</v>
      </c>
      <c r="C27" s="9">
        <v>44</v>
      </c>
      <c r="D27" s="9" t="s">
        <v>24</v>
      </c>
      <c r="E27" s="11">
        <v>1200</v>
      </c>
      <c r="F27" s="9">
        <v>4</v>
      </c>
      <c r="G27" s="11">
        <f t="shared" si="0"/>
        <v>4800</v>
      </c>
      <c r="H27" s="12">
        <f t="shared" si="1"/>
        <v>4816.8</v>
      </c>
      <c r="I27" s="13" t="str">
        <f t="shared" si="2"/>
        <v>NORMAL</v>
      </c>
      <c r="J27" s="9" t="s">
        <v>15</v>
      </c>
      <c r="K27" s="9" t="str">
        <f t="shared" si="3"/>
        <v>EXPENSIVE</v>
      </c>
      <c r="L27" s="14">
        <f>IFERROR(VLOOKUP(B27,'Visit Tracker'!$B$5:$I$29,8,0),"")</f>
        <v>0.8</v>
      </c>
    </row>
    <row r="28" spans="1:12" ht="18" customHeight="1" x14ac:dyDescent="0.3">
      <c r="A28" s="3">
        <v>25</v>
      </c>
      <c r="B28" s="4" t="s">
        <v>43</v>
      </c>
      <c r="C28" s="3">
        <v>58</v>
      </c>
      <c r="D28" s="3" t="s">
        <v>14</v>
      </c>
      <c r="E28" s="5">
        <v>1950</v>
      </c>
      <c r="F28" s="3">
        <v>7</v>
      </c>
      <c r="G28" s="5">
        <f t="shared" si="0"/>
        <v>13650</v>
      </c>
      <c r="H28" s="6">
        <f t="shared" si="1"/>
        <v>4816.8</v>
      </c>
      <c r="I28" s="7" t="str">
        <f t="shared" si="2"/>
        <v>HIGH COST</v>
      </c>
      <c r="J28" s="3" t="s">
        <v>15</v>
      </c>
      <c r="K28" s="3" t="str">
        <f t="shared" si="3"/>
        <v>EXPENSIVE</v>
      </c>
      <c r="L28" s="8">
        <f>IFERROR(VLOOKUP(B28,'Visit Tracker'!$B$5:$I$29,8,0),"")</f>
        <v>1</v>
      </c>
    </row>
    <row r="29" spans="1:12" ht="19.5" customHeight="1" x14ac:dyDescent="0.3">
      <c r="A29" s="56" t="s">
        <v>44</v>
      </c>
      <c r="B29" s="56"/>
      <c r="C29" s="56"/>
      <c r="D29" s="56"/>
      <c r="E29" s="20">
        <f>SUM(E4:E28)</f>
        <v>28120</v>
      </c>
      <c r="F29" s="20">
        <f>SUM(F4:F28)</f>
        <v>93</v>
      </c>
      <c r="G29" s="20">
        <f>SUM(G4:G28)</f>
        <v>120420</v>
      </c>
      <c r="H29" s="21">
        <f>AVERAGE(G4:G28)</f>
        <v>4816.8</v>
      </c>
      <c r="I29" s="22"/>
      <c r="J29" s="22"/>
      <c r="K29" s="22"/>
      <c r="L29" s="22"/>
    </row>
    <row r="30" spans="1:12" ht="14.25" customHeigh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ht="14.25" customHeight="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</sheetData>
  <mergeCells count="3">
    <mergeCell ref="A1:L1"/>
    <mergeCell ref="A2:L2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1B9A"/>
  </sheetPr>
  <dimension ref="A1:I29"/>
  <sheetViews>
    <sheetView showGridLines="0" topLeftCell="A4" zoomScaleNormal="100" workbookViewId="0">
      <selection activeCell="I13" sqref="I13"/>
    </sheetView>
  </sheetViews>
  <sheetFormatPr defaultColWidth="8.6640625" defaultRowHeight="14.4" x14ac:dyDescent="0.3"/>
  <cols>
    <col min="1" max="1" width="7" style="1" customWidth="1"/>
    <col min="2" max="2" width="24" style="1" customWidth="1"/>
    <col min="3" max="3" width="14.6640625" style="1" customWidth="1"/>
    <col min="4" max="7" width="10" style="1" customWidth="1"/>
    <col min="8" max="8" width="15" style="1" customWidth="1"/>
    <col min="9" max="9" width="17.6640625" style="1" customWidth="1"/>
  </cols>
  <sheetData>
    <row r="1" spans="1:9" ht="36" customHeight="1" x14ac:dyDescent="0.3">
      <c r="A1" s="57" t="s">
        <v>139</v>
      </c>
      <c r="B1" s="57"/>
      <c r="C1" s="57"/>
      <c r="D1" s="57"/>
      <c r="E1" s="57"/>
      <c r="F1" s="57"/>
      <c r="G1" s="57"/>
      <c r="H1" s="57"/>
      <c r="I1" s="57"/>
    </row>
    <row r="2" spans="1:9" ht="21" customHeight="1" x14ac:dyDescent="0.3">
      <c r="A2" s="58" t="s">
        <v>45</v>
      </c>
      <c r="B2" s="58"/>
      <c r="C2" s="58"/>
      <c r="D2" s="58"/>
      <c r="E2" s="58"/>
      <c r="F2" s="58"/>
      <c r="G2" s="58"/>
      <c r="H2" s="58"/>
      <c r="I2" s="58"/>
    </row>
    <row r="3" spans="1:9" ht="3.75" customHeight="1" x14ac:dyDescent="0.3">
      <c r="A3" s="59"/>
      <c r="B3" s="59"/>
      <c r="C3" s="59"/>
      <c r="D3" s="59"/>
      <c r="E3" s="59"/>
      <c r="F3" s="59"/>
      <c r="G3" s="59"/>
      <c r="H3" s="59"/>
      <c r="I3" s="59"/>
    </row>
    <row r="4" spans="1:9" ht="48.75" customHeight="1" x14ac:dyDescent="0.3">
      <c r="A4" s="24" t="s">
        <v>1</v>
      </c>
      <c r="B4" s="24" t="s">
        <v>2</v>
      </c>
      <c r="C4" s="25" t="s">
        <v>46</v>
      </c>
      <c r="D4" s="24" t="s">
        <v>47</v>
      </c>
      <c r="E4" s="24" t="s">
        <v>48</v>
      </c>
      <c r="F4" s="24" t="s">
        <v>49</v>
      </c>
      <c r="G4" s="24" t="s">
        <v>50</v>
      </c>
      <c r="H4" s="24" t="s">
        <v>51</v>
      </c>
      <c r="I4" s="24" t="s">
        <v>52</v>
      </c>
    </row>
    <row r="5" spans="1:9" ht="18" customHeight="1" x14ac:dyDescent="0.3">
      <c r="A5" s="26">
        <v>1</v>
      </c>
      <c r="B5" s="27" t="s">
        <v>13</v>
      </c>
      <c r="C5" s="28" t="s">
        <v>53</v>
      </c>
      <c r="D5" s="28" t="s">
        <v>53</v>
      </c>
      <c r="E5" s="29" t="s">
        <v>54</v>
      </c>
      <c r="F5" s="28" t="s">
        <v>53</v>
      </c>
      <c r="G5" s="28" t="s">
        <v>53</v>
      </c>
      <c r="H5" s="26">
        <f t="shared" ref="H5:H29" si="0">COUNTIF(C5:G5,"P")</f>
        <v>4</v>
      </c>
      <c r="I5" s="30">
        <f t="shared" ref="I5:I29" si="1">H5/5</f>
        <v>0.8</v>
      </c>
    </row>
    <row r="6" spans="1:9" ht="18" customHeight="1" x14ac:dyDescent="0.3">
      <c r="A6" s="31">
        <v>2</v>
      </c>
      <c r="B6" s="32" t="s">
        <v>16</v>
      </c>
      <c r="C6" s="29" t="s">
        <v>54</v>
      </c>
      <c r="D6" s="29" t="s">
        <v>54</v>
      </c>
      <c r="E6" s="29" t="s">
        <v>54</v>
      </c>
      <c r="F6" s="29" t="s">
        <v>54</v>
      </c>
      <c r="G6" s="28" t="s">
        <v>53</v>
      </c>
      <c r="H6" s="31">
        <f t="shared" si="0"/>
        <v>1</v>
      </c>
      <c r="I6" s="33">
        <f t="shared" si="1"/>
        <v>0.2</v>
      </c>
    </row>
    <row r="7" spans="1:9" ht="18" customHeight="1" x14ac:dyDescent="0.3">
      <c r="A7" s="26">
        <v>3</v>
      </c>
      <c r="B7" s="27" t="s">
        <v>19</v>
      </c>
      <c r="C7" s="28" t="s">
        <v>53</v>
      </c>
      <c r="D7" s="28" t="s">
        <v>53</v>
      </c>
      <c r="E7" s="28" t="s">
        <v>53</v>
      </c>
      <c r="F7" s="29" t="s">
        <v>54</v>
      </c>
      <c r="G7" s="28" t="s">
        <v>53</v>
      </c>
      <c r="H7" s="26">
        <f t="shared" si="0"/>
        <v>4</v>
      </c>
      <c r="I7" s="30">
        <f t="shared" si="1"/>
        <v>0.8</v>
      </c>
    </row>
    <row r="8" spans="1:9" ht="18" customHeight="1" x14ac:dyDescent="0.3">
      <c r="A8" s="31">
        <v>4</v>
      </c>
      <c r="B8" s="32" t="s">
        <v>21</v>
      </c>
      <c r="C8" s="28" t="s">
        <v>53</v>
      </c>
      <c r="D8" s="28" t="s">
        <v>53</v>
      </c>
      <c r="E8" s="28" t="s">
        <v>53</v>
      </c>
      <c r="F8" s="28" t="s">
        <v>53</v>
      </c>
      <c r="G8" s="28" t="s">
        <v>53</v>
      </c>
      <c r="H8" s="31">
        <f t="shared" si="0"/>
        <v>5</v>
      </c>
      <c r="I8" s="33">
        <f t="shared" si="1"/>
        <v>1</v>
      </c>
    </row>
    <row r="9" spans="1:9" ht="18" customHeight="1" x14ac:dyDescent="0.3">
      <c r="A9" s="26">
        <v>5</v>
      </c>
      <c r="B9" s="27" t="s">
        <v>22</v>
      </c>
      <c r="C9" s="28" t="s">
        <v>53</v>
      </c>
      <c r="D9" s="29" t="s">
        <v>54</v>
      </c>
      <c r="E9" s="28" t="s">
        <v>53</v>
      </c>
      <c r="F9" s="29" t="s">
        <v>54</v>
      </c>
      <c r="G9" s="29" t="s">
        <v>54</v>
      </c>
      <c r="H9" s="26">
        <f t="shared" si="0"/>
        <v>2</v>
      </c>
      <c r="I9" s="30">
        <f t="shared" si="1"/>
        <v>0.4</v>
      </c>
    </row>
    <row r="10" spans="1:9" ht="18" customHeight="1" x14ac:dyDescent="0.3">
      <c r="A10" s="31">
        <v>6</v>
      </c>
      <c r="B10" s="32" t="s">
        <v>23</v>
      </c>
      <c r="C10" s="28" t="s">
        <v>53</v>
      </c>
      <c r="D10" s="28" t="s">
        <v>53</v>
      </c>
      <c r="E10" s="29" t="s">
        <v>54</v>
      </c>
      <c r="F10" s="28" t="s">
        <v>53</v>
      </c>
      <c r="G10" s="29" t="s">
        <v>54</v>
      </c>
      <c r="H10" s="31">
        <f t="shared" si="0"/>
        <v>3</v>
      </c>
      <c r="I10" s="33">
        <f t="shared" si="1"/>
        <v>0.6</v>
      </c>
    </row>
    <row r="11" spans="1:9" ht="18" customHeight="1" x14ac:dyDescent="0.3">
      <c r="A11" s="26">
        <v>7</v>
      </c>
      <c r="B11" s="27" t="s">
        <v>25</v>
      </c>
      <c r="C11" s="28" t="s">
        <v>53</v>
      </c>
      <c r="D11" s="28" t="s">
        <v>53</v>
      </c>
      <c r="E11" s="28" t="s">
        <v>53</v>
      </c>
      <c r="F11" s="28" t="s">
        <v>53</v>
      </c>
      <c r="G11" s="28" t="s">
        <v>53</v>
      </c>
      <c r="H11" s="26">
        <f t="shared" si="0"/>
        <v>5</v>
      </c>
      <c r="I11" s="30">
        <f t="shared" si="1"/>
        <v>1</v>
      </c>
    </row>
    <row r="12" spans="1:9" ht="18" customHeight="1" x14ac:dyDescent="0.3">
      <c r="A12" s="31">
        <v>8</v>
      </c>
      <c r="B12" s="32" t="s">
        <v>26</v>
      </c>
      <c r="C12" s="29" t="s">
        <v>54</v>
      </c>
      <c r="D12" s="28" t="s">
        <v>53</v>
      </c>
      <c r="E12" s="28" t="s">
        <v>53</v>
      </c>
      <c r="F12" s="29" t="s">
        <v>54</v>
      </c>
      <c r="G12" s="29" t="s">
        <v>54</v>
      </c>
      <c r="H12" s="31">
        <f t="shared" si="0"/>
        <v>2</v>
      </c>
      <c r="I12" s="33">
        <f t="shared" si="1"/>
        <v>0.4</v>
      </c>
    </row>
    <row r="13" spans="1:9" ht="18" customHeight="1" x14ac:dyDescent="0.3">
      <c r="A13" s="26">
        <v>9</v>
      </c>
      <c r="B13" s="27" t="s">
        <v>27</v>
      </c>
      <c r="C13" s="29" t="s">
        <v>54</v>
      </c>
      <c r="D13" s="29" t="s">
        <v>54</v>
      </c>
      <c r="E13" s="29" t="s">
        <v>54</v>
      </c>
      <c r="F13" s="29" t="s">
        <v>54</v>
      </c>
      <c r="G13" s="28" t="s">
        <v>53</v>
      </c>
      <c r="H13" s="26">
        <f t="shared" si="0"/>
        <v>1</v>
      </c>
      <c r="I13" s="30">
        <f t="shared" si="1"/>
        <v>0.2</v>
      </c>
    </row>
    <row r="14" spans="1:9" ht="18" customHeight="1" x14ac:dyDescent="0.3">
      <c r="A14" s="31">
        <v>10</v>
      </c>
      <c r="B14" s="32" t="s">
        <v>28</v>
      </c>
      <c r="C14" s="28" t="s">
        <v>53</v>
      </c>
      <c r="D14" s="28" t="s">
        <v>53</v>
      </c>
      <c r="E14" s="29" t="s">
        <v>54</v>
      </c>
      <c r="F14" s="28" t="s">
        <v>53</v>
      </c>
      <c r="G14" s="28" t="s">
        <v>53</v>
      </c>
      <c r="H14" s="31">
        <f t="shared" si="0"/>
        <v>4</v>
      </c>
      <c r="I14" s="33">
        <f t="shared" si="1"/>
        <v>0.8</v>
      </c>
    </row>
    <row r="15" spans="1:9" ht="18" customHeight="1" x14ac:dyDescent="0.3">
      <c r="A15" s="26">
        <v>11</v>
      </c>
      <c r="B15" s="27" t="s">
        <v>29</v>
      </c>
      <c r="C15" s="28" t="s">
        <v>53</v>
      </c>
      <c r="D15" s="29" t="s">
        <v>54</v>
      </c>
      <c r="E15" s="28" t="s">
        <v>53</v>
      </c>
      <c r="F15" s="28" t="s">
        <v>53</v>
      </c>
      <c r="G15" s="29" t="s">
        <v>54</v>
      </c>
      <c r="H15" s="26">
        <f t="shared" si="0"/>
        <v>3</v>
      </c>
      <c r="I15" s="30">
        <f t="shared" si="1"/>
        <v>0.6</v>
      </c>
    </row>
    <row r="16" spans="1:9" ht="18" customHeight="1" x14ac:dyDescent="0.3">
      <c r="A16" s="31">
        <v>12</v>
      </c>
      <c r="B16" s="32" t="s">
        <v>30</v>
      </c>
      <c r="C16" s="28" t="s">
        <v>53</v>
      </c>
      <c r="D16" s="28" t="s">
        <v>53</v>
      </c>
      <c r="E16" s="28" t="s">
        <v>53</v>
      </c>
      <c r="F16" s="29" t="s">
        <v>54</v>
      </c>
      <c r="G16" s="29" t="s">
        <v>54</v>
      </c>
      <c r="H16" s="31">
        <f t="shared" si="0"/>
        <v>3</v>
      </c>
      <c r="I16" s="33">
        <f t="shared" si="1"/>
        <v>0.6</v>
      </c>
    </row>
    <row r="17" spans="1:9" ht="18" customHeight="1" x14ac:dyDescent="0.3">
      <c r="A17" s="26">
        <v>13</v>
      </c>
      <c r="B17" s="27" t="s">
        <v>31</v>
      </c>
      <c r="C17" s="28" t="s">
        <v>53</v>
      </c>
      <c r="D17" s="29" t="s">
        <v>54</v>
      </c>
      <c r="E17" s="28" t="s">
        <v>53</v>
      </c>
      <c r="F17" s="28" t="s">
        <v>53</v>
      </c>
      <c r="G17" s="29" t="s">
        <v>54</v>
      </c>
      <c r="H17" s="26">
        <f t="shared" si="0"/>
        <v>3</v>
      </c>
      <c r="I17" s="30">
        <f t="shared" si="1"/>
        <v>0.6</v>
      </c>
    </row>
    <row r="18" spans="1:9" ht="18" customHeight="1" x14ac:dyDescent="0.3">
      <c r="A18" s="31">
        <v>14</v>
      </c>
      <c r="B18" s="32" t="s">
        <v>32</v>
      </c>
      <c r="C18" s="28" t="s">
        <v>53</v>
      </c>
      <c r="D18" s="28" t="s">
        <v>53</v>
      </c>
      <c r="E18" s="28" t="s">
        <v>53</v>
      </c>
      <c r="F18" s="28" t="s">
        <v>53</v>
      </c>
      <c r="G18" s="29" t="s">
        <v>54</v>
      </c>
      <c r="H18" s="31">
        <f t="shared" si="0"/>
        <v>4</v>
      </c>
      <c r="I18" s="33">
        <f t="shared" si="1"/>
        <v>0.8</v>
      </c>
    </row>
    <row r="19" spans="1:9" ht="18" customHeight="1" x14ac:dyDescent="0.3">
      <c r="A19" s="26">
        <v>15</v>
      </c>
      <c r="B19" s="27" t="s">
        <v>33</v>
      </c>
      <c r="C19" s="29" t="s">
        <v>54</v>
      </c>
      <c r="D19" s="28" t="s">
        <v>53</v>
      </c>
      <c r="E19" s="28" t="s">
        <v>53</v>
      </c>
      <c r="F19" s="29" t="s">
        <v>54</v>
      </c>
      <c r="G19" s="28" t="s">
        <v>53</v>
      </c>
      <c r="H19" s="26">
        <f t="shared" si="0"/>
        <v>3</v>
      </c>
      <c r="I19" s="30">
        <f t="shared" si="1"/>
        <v>0.6</v>
      </c>
    </row>
    <row r="20" spans="1:9" ht="18" customHeight="1" x14ac:dyDescent="0.3">
      <c r="A20" s="31">
        <v>16</v>
      </c>
      <c r="B20" s="32" t="s">
        <v>34</v>
      </c>
      <c r="C20" s="28" t="s">
        <v>53</v>
      </c>
      <c r="D20" s="28" t="s">
        <v>53</v>
      </c>
      <c r="E20" s="28" t="s">
        <v>53</v>
      </c>
      <c r="F20" s="28" t="s">
        <v>53</v>
      </c>
      <c r="G20" s="28" t="s">
        <v>53</v>
      </c>
      <c r="H20" s="31">
        <f t="shared" si="0"/>
        <v>5</v>
      </c>
      <c r="I20" s="33">
        <f t="shared" si="1"/>
        <v>1</v>
      </c>
    </row>
    <row r="21" spans="1:9" ht="18" customHeight="1" x14ac:dyDescent="0.3">
      <c r="A21" s="26">
        <v>17</v>
      </c>
      <c r="B21" s="27" t="s">
        <v>35</v>
      </c>
      <c r="C21" s="28" t="s">
        <v>53</v>
      </c>
      <c r="D21" s="29" t="s">
        <v>54</v>
      </c>
      <c r="E21" s="29" t="s">
        <v>54</v>
      </c>
      <c r="F21" s="28" t="s">
        <v>53</v>
      </c>
      <c r="G21" s="28" t="s">
        <v>53</v>
      </c>
      <c r="H21" s="26">
        <f t="shared" si="0"/>
        <v>3</v>
      </c>
      <c r="I21" s="30">
        <f t="shared" si="1"/>
        <v>0.6</v>
      </c>
    </row>
    <row r="22" spans="1:9" ht="18" customHeight="1" x14ac:dyDescent="0.3">
      <c r="A22" s="31">
        <v>18</v>
      </c>
      <c r="B22" s="32" t="s">
        <v>36</v>
      </c>
      <c r="C22" s="29" t="s">
        <v>54</v>
      </c>
      <c r="D22" s="28" t="s">
        <v>53</v>
      </c>
      <c r="E22" s="29" t="s">
        <v>54</v>
      </c>
      <c r="F22" s="28" t="s">
        <v>53</v>
      </c>
      <c r="G22" s="29" t="s">
        <v>54</v>
      </c>
      <c r="H22" s="31">
        <f t="shared" si="0"/>
        <v>2</v>
      </c>
      <c r="I22" s="33">
        <f t="shared" si="1"/>
        <v>0.4</v>
      </c>
    </row>
    <row r="23" spans="1:9" ht="18" customHeight="1" x14ac:dyDescent="0.3">
      <c r="A23" s="26">
        <v>19</v>
      </c>
      <c r="B23" s="27" t="s">
        <v>37</v>
      </c>
      <c r="C23" s="28" t="s">
        <v>53</v>
      </c>
      <c r="D23" s="28" t="s">
        <v>53</v>
      </c>
      <c r="E23" s="28" t="s">
        <v>53</v>
      </c>
      <c r="F23" s="28" t="s">
        <v>53</v>
      </c>
      <c r="G23" s="28" t="s">
        <v>53</v>
      </c>
      <c r="H23" s="26">
        <f t="shared" si="0"/>
        <v>5</v>
      </c>
      <c r="I23" s="30">
        <f t="shared" si="1"/>
        <v>1</v>
      </c>
    </row>
    <row r="24" spans="1:9" ht="18" customHeight="1" x14ac:dyDescent="0.3">
      <c r="A24" s="31">
        <v>20</v>
      </c>
      <c r="B24" s="32" t="s">
        <v>38</v>
      </c>
      <c r="C24" s="28" t="s">
        <v>53</v>
      </c>
      <c r="D24" s="28" t="s">
        <v>53</v>
      </c>
      <c r="E24" s="29" t="s">
        <v>54</v>
      </c>
      <c r="F24" s="28" t="s">
        <v>53</v>
      </c>
      <c r="G24" s="28" t="s">
        <v>53</v>
      </c>
      <c r="H24" s="31">
        <f t="shared" si="0"/>
        <v>4</v>
      </c>
      <c r="I24" s="33">
        <f t="shared" si="1"/>
        <v>0.8</v>
      </c>
    </row>
    <row r="25" spans="1:9" ht="18" customHeight="1" x14ac:dyDescent="0.3">
      <c r="A25" s="26">
        <v>21</v>
      </c>
      <c r="B25" s="27" t="s">
        <v>39</v>
      </c>
      <c r="C25" s="29" t="s">
        <v>54</v>
      </c>
      <c r="D25" s="29" t="s">
        <v>54</v>
      </c>
      <c r="E25" s="28" t="s">
        <v>53</v>
      </c>
      <c r="F25" s="29" t="s">
        <v>54</v>
      </c>
      <c r="G25" s="28" t="s">
        <v>53</v>
      </c>
      <c r="H25" s="26">
        <f t="shared" si="0"/>
        <v>2</v>
      </c>
      <c r="I25" s="30">
        <f t="shared" si="1"/>
        <v>0.4</v>
      </c>
    </row>
    <row r="26" spans="1:9" ht="18" customHeight="1" x14ac:dyDescent="0.3">
      <c r="A26" s="31">
        <v>22</v>
      </c>
      <c r="B26" s="32" t="s">
        <v>40</v>
      </c>
      <c r="C26" s="28" t="s">
        <v>53</v>
      </c>
      <c r="D26" s="28" t="s">
        <v>53</v>
      </c>
      <c r="E26" s="28" t="s">
        <v>53</v>
      </c>
      <c r="F26" s="29" t="s">
        <v>54</v>
      </c>
      <c r="G26" s="28" t="s">
        <v>53</v>
      </c>
      <c r="H26" s="31">
        <f t="shared" si="0"/>
        <v>4</v>
      </c>
      <c r="I26" s="33">
        <f t="shared" si="1"/>
        <v>0.8</v>
      </c>
    </row>
    <row r="27" spans="1:9" ht="18" customHeight="1" x14ac:dyDescent="0.3">
      <c r="A27" s="26">
        <v>23</v>
      </c>
      <c r="B27" s="27" t="s">
        <v>41</v>
      </c>
      <c r="C27" s="28" t="s">
        <v>53</v>
      </c>
      <c r="D27" s="29" t="s">
        <v>54</v>
      </c>
      <c r="E27" s="28" t="s">
        <v>53</v>
      </c>
      <c r="F27" s="28" t="s">
        <v>53</v>
      </c>
      <c r="G27" s="29" t="s">
        <v>54</v>
      </c>
      <c r="H27" s="26">
        <f t="shared" si="0"/>
        <v>3</v>
      </c>
      <c r="I27" s="30">
        <f t="shared" si="1"/>
        <v>0.6</v>
      </c>
    </row>
    <row r="28" spans="1:9" ht="18" customHeight="1" x14ac:dyDescent="0.3">
      <c r="A28" s="31">
        <v>24</v>
      </c>
      <c r="B28" s="32" t="s">
        <v>42</v>
      </c>
      <c r="C28" s="28" t="s">
        <v>53</v>
      </c>
      <c r="D28" s="28" t="s">
        <v>53</v>
      </c>
      <c r="E28" s="28" t="s">
        <v>53</v>
      </c>
      <c r="F28" s="28" t="s">
        <v>53</v>
      </c>
      <c r="G28" s="29" t="s">
        <v>54</v>
      </c>
      <c r="H28" s="31">
        <f t="shared" si="0"/>
        <v>4</v>
      </c>
      <c r="I28" s="33">
        <f t="shared" si="1"/>
        <v>0.8</v>
      </c>
    </row>
    <row r="29" spans="1:9" ht="18" customHeight="1" x14ac:dyDescent="0.3">
      <c r="A29" s="26">
        <v>25</v>
      </c>
      <c r="B29" s="27" t="s">
        <v>43</v>
      </c>
      <c r="C29" s="28" t="s">
        <v>53</v>
      </c>
      <c r="D29" s="28" t="s">
        <v>53</v>
      </c>
      <c r="E29" s="28" t="s">
        <v>53</v>
      </c>
      <c r="F29" s="28" t="s">
        <v>53</v>
      </c>
      <c r="G29" s="28" t="s">
        <v>53</v>
      </c>
      <c r="H29" s="26">
        <f t="shared" si="0"/>
        <v>5</v>
      </c>
      <c r="I29" s="30">
        <f t="shared" si="1"/>
        <v>1</v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1B2A"/>
  </sheetPr>
  <dimension ref="A1:O54"/>
  <sheetViews>
    <sheetView showGridLines="0" topLeftCell="A18" zoomScaleNormal="100" workbookViewId="0">
      <selection activeCell="L4" sqref="L4:M4"/>
    </sheetView>
  </sheetViews>
  <sheetFormatPr defaultColWidth="8.6640625" defaultRowHeight="14.4" x14ac:dyDescent="0.3"/>
  <cols>
    <col min="1" max="1" width="3" style="1" customWidth="1"/>
    <col min="2" max="5" width="13" style="1" customWidth="1"/>
    <col min="6" max="6" width="3" style="1" customWidth="1"/>
    <col min="7" max="8" width="13" style="1" customWidth="1"/>
    <col min="9" max="9" width="3" style="1" customWidth="1"/>
    <col min="10" max="12" width="13" style="1" customWidth="1"/>
    <col min="13" max="13" width="14.44140625" style="1" customWidth="1"/>
    <col min="14" max="14" width="5.44140625" style="1" hidden="1" customWidth="1"/>
    <col min="15" max="15" width="3" style="1" customWidth="1"/>
  </cols>
  <sheetData>
    <row r="1" spans="1:15" ht="37.5" customHeight="1" x14ac:dyDescent="0.3">
      <c r="A1" s="34"/>
      <c r="B1" s="54" t="s">
        <v>55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34"/>
    </row>
    <row r="2" spans="1:15" ht="4.5" customHeight="1" x14ac:dyDescent="0.3">
      <c r="A2" s="3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34"/>
    </row>
    <row r="3" spans="1:15" ht="15.75" customHeight="1" x14ac:dyDescent="0.3">
      <c r="A3" s="34"/>
      <c r="B3" s="60" t="s">
        <v>56</v>
      </c>
      <c r="C3" s="60"/>
      <c r="D3" s="60" t="s">
        <v>57</v>
      </c>
      <c r="E3" s="60"/>
      <c r="F3" s="34"/>
      <c r="G3" s="60" t="s">
        <v>58</v>
      </c>
      <c r="H3" s="60"/>
      <c r="I3" s="34"/>
      <c r="J3" s="60" t="s">
        <v>59</v>
      </c>
      <c r="K3" s="60"/>
      <c r="L3" s="60" t="s">
        <v>60</v>
      </c>
      <c r="M3" s="60"/>
      <c r="N3" s="34"/>
      <c r="O3" s="34"/>
    </row>
    <row r="4" spans="1:15" ht="27.75" customHeight="1" x14ac:dyDescent="0.3">
      <c r="A4" s="34"/>
      <c r="B4" s="61">
        <f>COUNTA('Patient Records'!B4:B28)</f>
        <v>25</v>
      </c>
      <c r="C4" s="61"/>
      <c r="D4" s="61">
        <f>COUNTIF('Patient Records'!I4:I28,"HIGH COST")</f>
        <v>10</v>
      </c>
      <c r="E4" s="61"/>
      <c r="F4" s="34"/>
      <c r="G4" s="61">
        <f>COUNTIF('Patient Records'!I4:I28,"NORMAL")</f>
        <v>15</v>
      </c>
      <c r="H4" s="61"/>
      <c r="I4" s="34"/>
      <c r="J4" s="61">
        <f>SUM('Patient Records'!G4:G28)</f>
        <v>120420</v>
      </c>
      <c r="K4" s="61"/>
      <c r="L4" s="61">
        <f>AVERAGE('Patient Records'!G4:G28)</f>
        <v>4816.8</v>
      </c>
      <c r="M4" s="61"/>
      <c r="N4" s="34"/>
      <c r="O4" s="34"/>
    </row>
    <row r="5" spans="1:15" ht="7.5" customHeight="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5" ht="24" customHeight="1" x14ac:dyDescent="0.3">
      <c r="A6" s="34"/>
      <c r="B6" s="62" t="s">
        <v>61</v>
      </c>
      <c r="C6" s="62"/>
      <c r="D6" s="62"/>
      <c r="E6" s="62"/>
      <c r="F6" s="34"/>
      <c r="G6" s="63" t="s">
        <v>62</v>
      </c>
      <c r="H6" s="63"/>
      <c r="I6" s="63"/>
      <c r="J6" s="63"/>
      <c r="K6" s="63"/>
      <c r="L6" s="63"/>
      <c r="M6" s="63"/>
      <c r="N6" s="63"/>
      <c r="O6" s="34"/>
    </row>
    <row r="7" spans="1:15" ht="21.75" customHeight="1" x14ac:dyDescent="0.3">
      <c r="A7" s="34"/>
      <c r="B7" s="64" t="s">
        <v>4</v>
      </c>
      <c r="C7" s="64"/>
      <c r="D7" s="35" t="s">
        <v>63</v>
      </c>
      <c r="E7" s="35" t="s">
        <v>64</v>
      </c>
      <c r="F7" s="34"/>
      <c r="G7" s="64" t="s">
        <v>65</v>
      </c>
      <c r="H7" s="64"/>
      <c r="I7" s="64" t="s">
        <v>63</v>
      </c>
      <c r="J7" s="64"/>
      <c r="K7" s="64" t="s">
        <v>66</v>
      </c>
      <c r="L7" s="64"/>
      <c r="M7" s="64" t="s">
        <v>67</v>
      </c>
      <c r="N7" s="64"/>
      <c r="O7" s="34"/>
    </row>
    <row r="8" spans="1:15" ht="19.5" customHeight="1" x14ac:dyDescent="0.3">
      <c r="A8" s="34"/>
      <c r="B8" s="65" t="s">
        <v>14</v>
      </c>
      <c r="C8" s="65"/>
      <c r="D8" s="36">
        <f>COUNTIF('Patient Records'!$D$4:$D$28,"DR. ANIL GUPTA")</f>
        <v>7</v>
      </c>
      <c r="E8" s="37">
        <f>IFERROR(AVERAGEIF('Patient Records'!$D$4:$D$28,"DR. ANIL GUPTA",'Patient Records'!$G$4:$G$28),0)</f>
        <v>4238.5714285714284</v>
      </c>
      <c r="F8" s="34"/>
      <c r="G8" s="66" t="s">
        <v>57</v>
      </c>
      <c r="H8" s="66"/>
      <c r="I8" s="66">
        <f>COUNTIF('Patient Records'!I4:I28,"HIGH COST")</f>
        <v>10</v>
      </c>
      <c r="J8" s="66"/>
      <c r="K8" s="66">
        <f>SUMIF('Patient Records'!I4:I28,"HIGH COST",'Patient Records'!G4:G28)</f>
        <v>87200</v>
      </c>
      <c r="L8" s="66"/>
      <c r="M8" s="67">
        <f>IFERROR(K8/K10,0)</f>
        <v>0.72413220395283173</v>
      </c>
      <c r="N8" s="67"/>
      <c r="O8" s="34"/>
    </row>
    <row r="9" spans="1:15" ht="19.5" customHeight="1" x14ac:dyDescent="0.3">
      <c r="A9" s="34"/>
      <c r="B9" s="68" t="s">
        <v>17</v>
      </c>
      <c r="C9" s="68"/>
      <c r="D9" s="38">
        <f>COUNTIF('Patient Records'!$D$4:$D$28,"DR. SUNITA MEHTA")</f>
        <v>6</v>
      </c>
      <c r="E9" s="39">
        <f>IFERROR(AVERAGEIF('Patient Records'!$D$4:$D$28,"DR. SUNITA MEHTA",'Patient Records'!$G$4:$G$28),0)</f>
        <v>4075</v>
      </c>
      <c r="F9" s="34"/>
      <c r="G9" s="69" t="s">
        <v>58</v>
      </c>
      <c r="H9" s="69"/>
      <c r="I9" s="69">
        <f>COUNTIF('Patient Records'!I4:I28,"NORMAL")</f>
        <v>15</v>
      </c>
      <c r="J9" s="69"/>
      <c r="K9" s="69">
        <f>SUMIF('Patient Records'!I4:I28,"NORMAL",'Patient Records'!G4:G28)</f>
        <v>33220</v>
      </c>
      <c r="L9" s="69"/>
      <c r="M9" s="70">
        <f>IFERROR(K9/K10,0)</f>
        <v>0.27586779604716827</v>
      </c>
      <c r="N9" s="70"/>
      <c r="O9" s="34"/>
    </row>
    <row r="10" spans="1:15" ht="19.5" customHeight="1" x14ac:dyDescent="0.3">
      <c r="A10" s="34"/>
      <c r="B10" s="73" t="s">
        <v>20</v>
      </c>
      <c r="C10" s="73"/>
      <c r="D10" s="40">
        <f>COUNTIF('Patient Records'!$D$4:$D$28,"DR. RAJESH KUMAR")</f>
        <v>6</v>
      </c>
      <c r="E10" s="41">
        <f>IFERROR(AVERAGEIF('Patient Records'!$D$4:$D$28,"DR. RAJESH KUMAR",'Patient Records'!$G$4:$G$28),0)</f>
        <v>6608.333333333333</v>
      </c>
      <c r="F10" s="34"/>
      <c r="G10" s="74" t="s">
        <v>68</v>
      </c>
      <c r="H10" s="74"/>
      <c r="I10" s="74">
        <f>I8+I9</f>
        <v>25</v>
      </c>
      <c r="J10" s="74"/>
      <c r="K10" s="74">
        <f>K8+K9</f>
        <v>120420</v>
      </c>
      <c r="L10" s="74"/>
      <c r="M10" s="75">
        <f>IFERROR(K10/K10,0)</f>
        <v>1</v>
      </c>
      <c r="N10" s="75"/>
      <c r="O10" s="34"/>
    </row>
    <row r="11" spans="1:15" ht="19.5" customHeight="1" x14ac:dyDescent="0.3">
      <c r="A11" s="34"/>
      <c r="B11" s="71" t="s">
        <v>24</v>
      </c>
      <c r="C11" s="71"/>
      <c r="D11" s="42">
        <f>COUNTIF('Patient Records'!$D$4:$D$28,"DR. PRIYA SHARMA")</f>
        <v>6</v>
      </c>
      <c r="E11" s="43">
        <f>IFERROR(AVERAGEIF('Patient Records'!$D$4:$D$28,"DR. PRIYA SHARMA",'Patient Records'!$G$4:$G$28),0)</f>
        <v>4441.666666666667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ht="6" customHeight="1" x14ac:dyDescent="0.3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15" ht="24" customHeight="1" x14ac:dyDescent="0.3">
      <c r="A13" s="34"/>
      <c r="B13" s="72" t="s">
        <v>69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34"/>
    </row>
    <row r="14" spans="1:15" ht="18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spans="1:15" ht="18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ht="18" customHeight="1" x14ac:dyDescent="0.3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1:15" ht="18" customHeight="1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1:15" ht="18" customHeight="1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spans="1:15" ht="18" customHeight="1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spans="1:15" ht="18" customHeight="1" x14ac:dyDescent="0.3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spans="1:15" ht="18" customHeight="1" x14ac:dyDescent="0.3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spans="1:15" ht="18" customHeight="1" x14ac:dyDescent="0.3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</row>
    <row r="23" spans="1:15" ht="18" customHeight="1" x14ac:dyDescent="0.3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</row>
    <row r="24" spans="1:15" ht="18" customHeight="1" x14ac:dyDescent="0.3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spans="1:15" ht="18" customHeight="1" x14ac:dyDescent="0.3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spans="1:15" ht="18" customHeight="1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spans="1:15" ht="18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1:15" ht="18" customHeight="1" x14ac:dyDescent="0.3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 spans="1:15" ht="18" customHeight="1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spans="1:15" ht="18" customHeight="1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</row>
    <row r="31" spans="1:15" ht="18" customHeight="1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 spans="1:15" ht="18" customHeight="1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spans="1:15" ht="18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spans="1:15" ht="18" customHeight="1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1:15" ht="18" customHeight="1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1:15" ht="18" customHeight="1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 spans="1:15" ht="18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1:15" ht="18" customHeight="1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 spans="1:15" ht="18" customHeight="1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spans="1:15" ht="18" customHeight="1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spans="1:15" ht="18" customHeight="1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</row>
    <row r="42" spans="1:15" ht="18" customHeight="1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15" ht="18" customHeight="1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spans="1:15" ht="18" customHeight="1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 spans="1:15" ht="18" customHeigh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</row>
    <row r="46" spans="1:15" ht="18" customHeight="1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</row>
    <row r="47" spans="1:15" ht="18" customHeight="1" x14ac:dyDescent="0.3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</row>
    <row r="48" spans="1:15" ht="18" customHeight="1" x14ac:dyDescent="0.3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</row>
    <row r="49" spans="1:15" ht="18" customHeight="1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</row>
    <row r="50" spans="1:15" ht="18" customHeight="1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</row>
    <row r="51" spans="1:15" ht="18" customHeight="1" x14ac:dyDescent="0.3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</row>
    <row r="52" spans="1:15" ht="18" customHeight="1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</row>
    <row r="53" spans="1:15" ht="18" customHeight="1" x14ac:dyDescent="0.3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</row>
    <row r="54" spans="1:15" ht="18" customHeight="1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</row>
  </sheetData>
  <mergeCells count="36">
    <mergeCell ref="B11:C11"/>
    <mergeCell ref="B13:N13"/>
    <mergeCell ref="B10:C10"/>
    <mergeCell ref="G10:H10"/>
    <mergeCell ref="I10:J10"/>
    <mergeCell ref="K10:L10"/>
    <mergeCell ref="M10:N10"/>
    <mergeCell ref="B9:C9"/>
    <mergeCell ref="G9:H9"/>
    <mergeCell ref="I9:J9"/>
    <mergeCell ref="K9:L9"/>
    <mergeCell ref="M9:N9"/>
    <mergeCell ref="B8:C8"/>
    <mergeCell ref="G8:H8"/>
    <mergeCell ref="I8:J8"/>
    <mergeCell ref="K8:L8"/>
    <mergeCell ref="M8:N8"/>
    <mergeCell ref="B6:E6"/>
    <mergeCell ref="G6:N6"/>
    <mergeCell ref="B7:C7"/>
    <mergeCell ref="G7:H7"/>
    <mergeCell ref="I7:J7"/>
    <mergeCell ref="K7:L7"/>
    <mergeCell ref="M7:N7"/>
    <mergeCell ref="B4:C4"/>
    <mergeCell ref="D4:E4"/>
    <mergeCell ref="G4:H4"/>
    <mergeCell ref="J4:K4"/>
    <mergeCell ref="L4:M4"/>
    <mergeCell ref="B1:N1"/>
    <mergeCell ref="B2:N2"/>
    <mergeCell ref="B3:C3"/>
    <mergeCell ref="D3:E3"/>
    <mergeCell ref="G3:H3"/>
    <mergeCell ref="J3:K3"/>
    <mergeCell ref="L3:M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zoomScaleNormal="100" workbookViewId="0"/>
  </sheetViews>
  <sheetFormatPr defaultColWidth="8.6640625" defaultRowHeight="14.4" x14ac:dyDescent="0.3"/>
  <sheetData>
    <row r="1" spans="1:8" ht="14.25" customHeight="1" x14ac:dyDescent="0.3">
      <c r="A1" s="1" t="s">
        <v>65</v>
      </c>
      <c r="B1" s="1" t="s">
        <v>70</v>
      </c>
      <c r="D1" s="1" t="s">
        <v>71</v>
      </c>
      <c r="E1" s="1" t="s">
        <v>72</v>
      </c>
      <c r="G1" s="1" t="s">
        <v>73</v>
      </c>
      <c r="H1" s="1" t="s">
        <v>70</v>
      </c>
    </row>
    <row r="2" spans="1:8" ht="14.25" customHeight="1" x14ac:dyDescent="0.3">
      <c r="A2" s="1" t="s">
        <v>57</v>
      </c>
      <c r="B2" s="1">
        <f>COUNTIF('Patient Records'!I4:I28,"HIGH COST")</f>
        <v>10</v>
      </c>
      <c r="D2" s="1" t="s">
        <v>74</v>
      </c>
      <c r="E2" s="1">
        <v>6000</v>
      </c>
      <c r="G2" s="1" t="s">
        <v>75</v>
      </c>
      <c r="H2" s="1">
        <v>13</v>
      </c>
    </row>
    <row r="3" spans="1:8" ht="14.25" customHeight="1" x14ac:dyDescent="0.3">
      <c r="A3" s="1" t="s">
        <v>58</v>
      </c>
      <c r="B3" s="1">
        <f>COUNTIF('Patient Records'!I4:I28,"NORMAL")</f>
        <v>15</v>
      </c>
      <c r="D3" s="1" t="s">
        <v>76</v>
      </c>
      <c r="E3" s="1">
        <v>800</v>
      </c>
      <c r="G3" s="1" t="s">
        <v>77</v>
      </c>
      <c r="H3" s="1">
        <v>12</v>
      </c>
    </row>
    <row r="4" spans="1:8" ht="14.25" customHeight="1" x14ac:dyDescent="0.3">
      <c r="D4" s="1" t="s">
        <v>78</v>
      </c>
      <c r="E4" s="1">
        <v>6000</v>
      </c>
    </row>
    <row r="5" spans="1:8" ht="14.25" customHeight="1" x14ac:dyDescent="0.3">
      <c r="D5" s="1" t="s">
        <v>79</v>
      </c>
      <c r="E5" s="1">
        <v>6300</v>
      </c>
    </row>
    <row r="6" spans="1:8" ht="14.25" customHeight="1" x14ac:dyDescent="0.3">
      <c r="D6" s="1" t="s">
        <v>80</v>
      </c>
      <c r="E6" s="1">
        <v>1200</v>
      </c>
    </row>
    <row r="7" spans="1:8" ht="14.25" customHeight="1" x14ac:dyDescent="0.3">
      <c r="D7" s="1" t="s">
        <v>81</v>
      </c>
      <c r="E7" s="1">
        <v>3300</v>
      </c>
    </row>
    <row r="8" spans="1:8" ht="14.25" customHeight="1" x14ac:dyDescent="0.3">
      <c r="D8" s="1" t="s">
        <v>82</v>
      </c>
      <c r="E8" s="1">
        <v>10800</v>
      </c>
    </row>
    <row r="9" spans="1:8" ht="14.25" customHeight="1" x14ac:dyDescent="0.3">
      <c r="D9" s="1" t="s">
        <v>83</v>
      </c>
      <c r="E9" s="1">
        <v>1900</v>
      </c>
    </row>
    <row r="10" spans="1:8" ht="14.25" customHeight="1" x14ac:dyDescent="0.3">
      <c r="D10" s="1" t="s">
        <v>84</v>
      </c>
      <c r="E10" s="1">
        <v>700</v>
      </c>
    </row>
    <row r="11" spans="1:8" ht="14.25" customHeight="1" x14ac:dyDescent="0.3">
      <c r="D11" s="1" t="s">
        <v>85</v>
      </c>
      <c r="E11" s="1">
        <v>6500</v>
      </c>
    </row>
    <row r="12" spans="1:8" ht="14.25" customHeight="1" x14ac:dyDescent="0.3">
      <c r="D12" s="1" t="s">
        <v>86</v>
      </c>
      <c r="E12" s="1">
        <v>4000</v>
      </c>
    </row>
    <row r="13" spans="1:8" ht="14.25" customHeight="1" x14ac:dyDescent="0.3">
      <c r="D13" s="1" t="s">
        <v>87</v>
      </c>
      <c r="E13" s="1">
        <v>2550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</sheetPr>
  <dimension ref="A1:D15"/>
  <sheetViews>
    <sheetView zoomScaleNormal="100" workbookViewId="0">
      <selection activeCell="C17" sqref="C17"/>
    </sheetView>
  </sheetViews>
  <sheetFormatPr defaultColWidth="8.6640625" defaultRowHeight="14.4" x14ac:dyDescent="0.3"/>
  <cols>
    <col min="1" max="1" width="8" customWidth="1"/>
    <col min="2" max="2" width="26" customWidth="1"/>
    <col min="3" max="3" width="42" customWidth="1"/>
    <col min="4" max="4" width="32" customWidth="1"/>
  </cols>
  <sheetData>
    <row r="1" spans="1:4" ht="36" customHeight="1" x14ac:dyDescent="0.3">
      <c r="A1" s="76" t="s">
        <v>140</v>
      </c>
      <c r="B1" s="76"/>
      <c r="C1" s="76"/>
      <c r="D1" s="76"/>
    </row>
    <row r="2" spans="1:4" ht="24" customHeight="1" x14ac:dyDescent="0.3">
      <c r="A2" s="44" t="s">
        <v>88</v>
      </c>
      <c r="B2" s="45" t="s">
        <v>89</v>
      </c>
      <c r="C2" s="45" t="s">
        <v>90</v>
      </c>
      <c r="D2" s="45" t="s">
        <v>91</v>
      </c>
    </row>
    <row r="3" spans="1:4" ht="31.5" customHeight="1" x14ac:dyDescent="0.3">
      <c r="A3" s="46" t="s">
        <v>92</v>
      </c>
      <c r="B3" s="47" t="s">
        <v>93</v>
      </c>
      <c r="C3" s="48" t="s">
        <v>94</v>
      </c>
      <c r="D3" s="49" t="s">
        <v>95</v>
      </c>
    </row>
    <row r="4" spans="1:4" ht="31.5" customHeight="1" x14ac:dyDescent="0.3">
      <c r="A4" s="50" t="s">
        <v>96</v>
      </c>
      <c r="B4" s="51" t="s">
        <v>97</v>
      </c>
      <c r="C4" s="52" t="s">
        <v>98</v>
      </c>
      <c r="D4" s="53" t="s">
        <v>99</v>
      </c>
    </row>
    <row r="5" spans="1:4" ht="31.5" customHeight="1" x14ac:dyDescent="0.3">
      <c r="A5" s="46">
        <v>3</v>
      </c>
      <c r="B5" s="47" t="s">
        <v>100</v>
      </c>
      <c r="C5" s="48" t="s">
        <v>101</v>
      </c>
      <c r="D5" s="49" t="s">
        <v>102</v>
      </c>
    </row>
    <row r="6" spans="1:4" ht="31.5" customHeight="1" x14ac:dyDescent="0.3">
      <c r="A6" s="50" t="s">
        <v>103</v>
      </c>
      <c r="B6" s="51" t="s">
        <v>104</v>
      </c>
      <c r="C6" s="52" t="s">
        <v>105</v>
      </c>
      <c r="D6" s="53" t="s">
        <v>106</v>
      </c>
    </row>
    <row r="7" spans="1:4" ht="31.5" customHeight="1" x14ac:dyDescent="0.3">
      <c r="A7" s="46" t="s">
        <v>107</v>
      </c>
      <c r="B7" s="47" t="s">
        <v>108</v>
      </c>
      <c r="C7" s="48" t="s">
        <v>109</v>
      </c>
      <c r="D7" s="49" t="s">
        <v>110</v>
      </c>
    </row>
    <row r="8" spans="1:4" ht="31.5" customHeight="1" x14ac:dyDescent="0.3">
      <c r="A8" s="50" t="s">
        <v>111</v>
      </c>
      <c r="B8" s="51" t="s">
        <v>112</v>
      </c>
      <c r="C8" s="52" t="s">
        <v>113</v>
      </c>
      <c r="D8" s="53" t="s">
        <v>114</v>
      </c>
    </row>
    <row r="9" spans="1:4" ht="31.5" customHeight="1" x14ac:dyDescent="0.3">
      <c r="A9" s="46" t="s">
        <v>115</v>
      </c>
      <c r="B9" s="47" t="s">
        <v>116</v>
      </c>
      <c r="C9" s="48" t="s">
        <v>117</v>
      </c>
      <c r="D9" s="49" t="s">
        <v>118</v>
      </c>
    </row>
    <row r="10" spans="1:4" ht="31.5" customHeight="1" x14ac:dyDescent="0.3">
      <c r="A10" s="50" t="s">
        <v>119</v>
      </c>
      <c r="B10" s="51" t="s">
        <v>120</v>
      </c>
      <c r="C10" s="52" t="s">
        <v>121</v>
      </c>
      <c r="D10" s="53" t="s">
        <v>122</v>
      </c>
    </row>
    <row r="11" spans="1:4" ht="31.5" customHeight="1" x14ac:dyDescent="0.3">
      <c r="A11" s="46" t="s">
        <v>123</v>
      </c>
      <c r="B11" s="47" t="s">
        <v>124</v>
      </c>
      <c r="C11" s="48" t="s">
        <v>125</v>
      </c>
      <c r="D11" s="49" t="s">
        <v>126</v>
      </c>
    </row>
    <row r="12" spans="1:4" ht="31.5" customHeight="1" x14ac:dyDescent="0.3">
      <c r="A12" s="50" t="s">
        <v>127</v>
      </c>
      <c r="B12" s="51" t="s">
        <v>128</v>
      </c>
      <c r="C12" s="52" t="s">
        <v>129</v>
      </c>
      <c r="D12" s="53" t="s">
        <v>130</v>
      </c>
    </row>
    <row r="13" spans="1:4" ht="31.5" customHeight="1" x14ac:dyDescent="0.3">
      <c r="A13" s="46" t="s">
        <v>131</v>
      </c>
      <c r="B13" s="47" t="s">
        <v>132</v>
      </c>
      <c r="C13" s="48" t="s">
        <v>133</v>
      </c>
      <c r="D13" s="49" t="s">
        <v>134</v>
      </c>
    </row>
    <row r="14" spans="1:4" ht="31.5" customHeight="1" x14ac:dyDescent="0.3">
      <c r="A14" s="50" t="s">
        <v>135</v>
      </c>
      <c r="B14" s="51" t="s">
        <v>136</v>
      </c>
      <c r="C14" s="52" t="s">
        <v>137</v>
      </c>
      <c r="D14" s="53" t="s">
        <v>138</v>
      </c>
    </row>
    <row r="15" spans="1:4" ht="6" customHeight="1" x14ac:dyDescent="0.3">
      <c r="A15" s="77"/>
      <c r="B15" s="77"/>
      <c r="C15" s="77"/>
      <c r="D15" s="77"/>
    </row>
  </sheetData>
  <mergeCells count="2">
    <mergeCell ref="A1:D1"/>
    <mergeCell ref="A15:D15"/>
  </mergeCells>
  <pageMargins left="0.75" right="0.75" top="1" bottom="1" header="0.511811023622047" footer="0.511811023622047"/>
  <pageSetup paperSize="9" orientation="portrait" horizontalDpi="300" verticalDpi="300"/>
  <ignoredErrors>
    <ignoredError sqref="A6:A14 A3: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 Records</vt:lpstr>
      <vt:lpstr>Visit Tracker</vt:lpstr>
      <vt:lpstr>Dashboard</vt:lpstr>
      <vt:lpstr>_Data</vt:lpstr>
      <vt:lpstr>Formulas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AKSHAY BHATT</cp:lastModifiedBy>
  <cp:revision>7</cp:revision>
  <dcterms:created xsi:type="dcterms:W3CDTF">2026-04-13T19:48:24Z</dcterms:created>
  <dcterms:modified xsi:type="dcterms:W3CDTF">2026-04-14T12:48:19Z</dcterms:modified>
  <dc:language>en-US</dc:language>
</cp:coreProperties>
</file>